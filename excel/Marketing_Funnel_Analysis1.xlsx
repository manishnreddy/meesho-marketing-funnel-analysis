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ump\Downloads\meesho-marketing-funnel-analysis\meesho-marketing-funnel-analysis\excel\"/>
    </mc:Choice>
  </mc:AlternateContent>
  <xr:revisionPtr revIDLastSave="0" documentId="13_ncr:1_{3922592D-04FB-4955-894A-EA191DCB030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Executive Summary" sheetId="1" r:id="rId1"/>
    <sheet name="Trend" sheetId="2" r:id="rId2"/>
    <sheet name="Period Comparison" sheetId="3" r:id="rId3"/>
    <sheet name="Channel Breakdown" sheetId="4" r:id="rId4"/>
    <sheet name="Funnel" sheetId="5" r:id="rId5"/>
    <sheet name="Downstream Conversion" sheetId="6" r:id="rId6"/>
    <sheet name="FB Campaign Performance" sheetId="7" r:id="rId7"/>
    <sheet name="FB Audience Breakdown" sheetId="8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8" l="1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J4" i="8"/>
  <c r="I4" i="8"/>
  <c r="H4" i="8"/>
  <c r="J3" i="8"/>
  <c r="I3" i="8"/>
  <c r="H3" i="8"/>
  <c r="J2" i="8"/>
  <c r="I2" i="8"/>
  <c r="H2" i="8"/>
  <c r="L6" i="7"/>
  <c r="K6" i="7"/>
  <c r="J6" i="7"/>
  <c r="I6" i="7"/>
  <c r="H6" i="7"/>
  <c r="G6" i="7"/>
  <c r="L5" i="7"/>
  <c r="K5" i="7"/>
  <c r="J5" i="7"/>
  <c r="I5" i="7"/>
  <c r="H5" i="7"/>
  <c r="G5" i="7"/>
  <c r="L4" i="7"/>
  <c r="K4" i="7"/>
  <c r="J4" i="7"/>
  <c r="I4" i="7"/>
  <c r="H4" i="7"/>
  <c r="G4" i="7"/>
  <c r="D15" i="6"/>
  <c r="E14" i="6"/>
  <c r="D14" i="6"/>
  <c r="E15" i="6" s="1"/>
  <c r="D13" i="6"/>
  <c r="E13" i="6" s="1"/>
  <c r="E12" i="6"/>
  <c r="D12" i="6"/>
  <c r="E11" i="6"/>
  <c r="D11" i="6"/>
  <c r="E10" i="6"/>
  <c r="D10" i="6"/>
  <c r="D9" i="6"/>
  <c r="E9" i="6" s="1"/>
  <c r="E8" i="6"/>
  <c r="D8" i="6"/>
  <c r="E7" i="6"/>
  <c r="D7" i="6"/>
  <c r="E6" i="6"/>
  <c r="D6" i="6"/>
  <c r="D5" i="6"/>
  <c r="E5" i="6" s="1"/>
  <c r="E4" i="6"/>
  <c r="D4" i="6"/>
  <c r="D3" i="6"/>
  <c r="D2" i="6"/>
  <c r="E3" i="6" s="1"/>
  <c r="F165" i="5"/>
  <c r="E165" i="5"/>
  <c r="H165" i="5" s="1"/>
  <c r="D165" i="5"/>
  <c r="G165" i="5" s="1"/>
  <c r="C165" i="5"/>
  <c r="B165" i="5"/>
  <c r="E164" i="5"/>
  <c r="H164" i="5" s="1"/>
  <c r="D164" i="5"/>
  <c r="G164" i="5" s="1"/>
  <c r="C164" i="5"/>
  <c r="F164" i="5" s="1"/>
  <c r="B164" i="5"/>
  <c r="E163" i="5"/>
  <c r="H163" i="5" s="1"/>
  <c r="D163" i="5"/>
  <c r="G163" i="5" s="1"/>
  <c r="C163" i="5"/>
  <c r="F163" i="5" s="1"/>
  <c r="B163" i="5"/>
  <c r="E162" i="5"/>
  <c r="D162" i="5"/>
  <c r="H162" i="5" s="1"/>
  <c r="C162" i="5"/>
  <c r="F162" i="5" s="1"/>
  <c r="B162" i="5"/>
  <c r="H161" i="5"/>
  <c r="E161" i="5"/>
  <c r="D161" i="5"/>
  <c r="C161" i="5"/>
  <c r="G161" i="5" s="1"/>
  <c r="B161" i="5"/>
  <c r="I156" i="5"/>
  <c r="H156" i="5"/>
  <c r="G156" i="5"/>
  <c r="I155" i="5"/>
  <c r="H155" i="5"/>
  <c r="G155" i="5"/>
  <c r="I154" i="5"/>
  <c r="H154" i="5"/>
  <c r="G154" i="5"/>
  <c r="I153" i="5"/>
  <c r="H153" i="5"/>
  <c r="G153" i="5"/>
  <c r="I152" i="5"/>
  <c r="H152" i="5"/>
  <c r="G152" i="5"/>
  <c r="I151" i="5"/>
  <c r="H151" i="5"/>
  <c r="G151" i="5"/>
  <c r="I150" i="5"/>
  <c r="H150" i="5"/>
  <c r="G150" i="5"/>
  <c r="I149" i="5"/>
  <c r="H149" i="5"/>
  <c r="G149" i="5"/>
  <c r="I148" i="5"/>
  <c r="H148" i="5"/>
  <c r="G148" i="5"/>
  <c r="I147" i="5"/>
  <c r="H147" i="5"/>
  <c r="G147" i="5"/>
  <c r="I146" i="5"/>
  <c r="H146" i="5"/>
  <c r="G146" i="5"/>
  <c r="I145" i="5"/>
  <c r="H145" i="5"/>
  <c r="G145" i="5"/>
  <c r="I144" i="5"/>
  <c r="H144" i="5"/>
  <c r="G144" i="5"/>
  <c r="I143" i="5"/>
  <c r="H143" i="5"/>
  <c r="G143" i="5"/>
  <c r="I142" i="5"/>
  <c r="H142" i="5"/>
  <c r="G142" i="5"/>
  <c r="I141" i="5"/>
  <c r="H141" i="5"/>
  <c r="G141" i="5"/>
  <c r="I140" i="5"/>
  <c r="H140" i="5"/>
  <c r="G140" i="5"/>
  <c r="I139" i="5"/>
  <c r="H139" i="5"/>
  <c r="G139" i="5"/>
  <c r="I138" i="5"/>
  <c r="H138" i="5"/>
  <c r="G138" i="5"/>
  <c r="I137" i="5"/>
  <c r="H137" i="5"/>
  <c r="G137" i="5"/>
  <c r="I136" i="5"/>
  <c r="H136" i="5"/>
  <c r="G136" i="5"/>
  <c r="I135" i="5"/>
  <c r="H135" i="5"/>
  <c r="G135" i="5"/>
  <c r="I134" i="5"/>
  <c r="H134" i="5"/>
  <c r="G134" i="5"/>
  <c r="I133" i="5"/>
  <c r="H133" i="5"/>
  <c r="G133" i="5"/>
  <c r="I132" i="5"/>
  <c r="H132" i="5"/>
  <c r="G132" i="5"/>
  <c r="I131" i="5"/>
  <c r="H131" i="5"/>
  <c r="G131" i="5"/>
  <c r="I130" i="5"/>
  <c r="H130" i="5"/>
  <c r="G130" i="5"/>
  <c r="I129" i="5"/>
  <c r="H129" i="5"/>
  <c r="G129" i="5"/>
  <c r="I128" i="5"/>
  <c r="H128" i="5"/>
  <c r="G128" i="5"/>
  <c r="I127" i="5"/>
  <c r="H127" i="5"/>
  <c r="G127" i="5"/>
  <c r="I126" i="5"/>
  <c r="H126" i="5"/>
  <c r="G126" i="5"/>
  <c r="I125" i="5"/>
  <c r="H125" i="5"/>
  <c r="G125" i="5"/>
  <c r="I124" i="5"/>
  <c r="H124" i="5"/>
  <c r="G124" i="5"/>
  <c r="I123" i="5"/>
  <c r="H123" i="5"/>
  <c r="G123" i="5"/>
  <c r="I122" i="5"/>
  <c r="H122" i="5"/>
  <c r="G122" i="5"/>
  <c r="I121" i="5"/>
  <c r="H121" i="5"/>
  <c r="G121" i="5"/>
  <c r="I120" i="5"/>
  <c r="H120" i="5"/>
  <c r="G120" i="5"/>
  <c r="I119" i="5"/>
  <c r="H119" i="5"/>
  <c r="G119" i="5"/>
  <c r="I118" i="5"/>
  <c r="H118" i="5"/>
  <c r="G118" i="5"/>
  <c r="I117" i="5"/>
  <c r="H117" i="5"/>
  <c r="G117" i="5"/>
  <c r="I116" i="5"/>
  <c r="H116" i="5"/>
  <c r="G116" i="5"/>
  <c r="I115" i="5"/>
  <c r="H115" i="5"/>
  <c r="G115" i="5"/>
  <c r="I114" i="5"/>
  <c r="H114" i="5"/>
  <c r="G114" i="5"/>
  <c r="I113" i="5"/>
  <c r="H113" i="5"/>
  <c r="G113" i="5"/>
  <c r="I112" i="5"/>
  <c r="H112" i="5"/>
  <c r="G112" i="5"/>
  <c r="I111" i="5"/>
  <c r="H111" i="5"/>
  <c r="G111" i="5"/>
  <c r="I110" i="5"/>
  <c r="H110" i="5"/>
  <c r="G110" i="5"/>
  <c r="I109" i="5"/>
  <c r="H109" i="5"/>
  <c r="G109" i="5"/>
  <c r="I108" i="5"/>
  <c r="H108" i="5"/>
  <c r="G108" i="5"/>
  <c r="I107" i="5"/>
  <c r="H107" i="5"/>
  <c r="G107" i="5"/>
  <c r="I106" i="5"/>
  <c r="H106" i="5"/>
  <c r="G106" i="5"/>
  <c r="I105" i="5"/>
  <c r="H105" i="5"/>
  <c r="G105" i="5"/>
  <c r="I104" i="5"/>
  <c r="H104" i="5"/>
  <c r="G104" i="5"/>
  <c r="I103" i="5"/>
  <c r="H103" i="5"/>
  <c r="G103" i="5"/>
  <c r="I102" i="5"/>
  <c r="H102" i="5"/>
  <c r="G102" i="5"/>
  <c r="I101" i="5"/>
  <c r="H101" i="5"/>
  <c r="G101" i="5"/>
  <c r="I100" i="5"/>
  <c r="H100" i="5"/>
  <c r="G100" i="5"/>
  <c r="I99" i="5"/>
  <c r="H99" i="5"/>
  <c r="G99" i="5"/>
  <c r="I98" i="5"/>
  <c r="H98" i="5"/>
  <c r="G98" i="5"/>
  <c r="I97" i="5"/>
  <c r="H97" i="5"/>
  <c r="G97" i="5"/>
  <c r="I96" i="5"/>
  <c r="H96" i="5"/>
  <c r="G96" i="5"/>
  <c r="I95" i="5"/>
  <c r="H95" i="5"/>
  <c r="G95" i="5"/>
  <c r="I94" i="5"/>
  <c r="H94" i="5"/>
  <c r="G94" i="5"/>
  <c r="I93" i="5"/>
  <c r="H93" i="5"/>
  <c r="G93" i="5"/>
  <c r="I92" i="5"/>
  <c r="H92" i="5"/>
  <c r="G92" i="5"/>
  <c r="I91" i="5"/>
  <c r="H91" i="5"/>
  <c r="G91" i="5"/>
  <c r="I90" i="5"/>
  <c r="H90" i="5"/>
  <c r="G90" i="5"/>
  <c r="I89" i="5"/>
  <c r="H89" i="5"/>
  <c r="G89" i="5"/>
  <c r="I88" i="5"/>
  <c r="H88" i="5"/>
  <c r="G88" i="5"/>
  <c r="I87" i="5"/>
  <c r="H87" i="5"/>
  <c r="G87" i="5"/>
  <c r="I86" i="5"/>
  <c r="H86" i="5"/>
  <c r="G86" i="5"/>
  <c r="I85" i="5"/>
  <c r="H85" i="5"/>
  <c r="G85" i="5"/>
  <c r="I84" i="5"/>
  <c r="H84" i="5"/>
  <c r="G84" i="5"/>
  <c r="I83" i="5"/>
  <c r="H83" i="5"/>
  <c r="G83" i="5"/>
  <c r="I82" i="5"/>
  <c r="H82" i="5"/>
  <c r="G82" i="5"/>
  <c r="I81" i="5"/>
  <c r="H81" i="5"/>
  <c r="G81" i="5"/>
  <c r="I80" i="5"/>
  <c r="H80" i="5"/>
  <c r="G80" i="5"/>
  <c r="I79" i="5"/>
  <c r="H79" i="5"/>
  <c r="G79" i="5"/>
  <c r="I78" i="5"/>
  <c r="H78" i="5"/>
  <c r="G78" i="5"/>
  <c r="I77" i="5"/>
  <c r="H77" i="5"/>
  <c r="G77" i="5"/>
  <c r="I76" i="5"/>
  <c r="H76" i="5"/>
  <c r="G76" i="5"/>
  <c r="I75" i="5"/>
  <c r="H75" i="5"/>
  <c r="G75" i="5"/>
  <c r="I74" i="5"/>
  <c r="H74" i="5"/>
  <c r="G74" i="5"/>
  <c r="I73" i="5"/>
  <c r="H73" i="5"/>
  <c r="G73" i="5"/>
  <c r="I72" i="5"/>
  <c r="H72" i="5"/>
  <c r="G72" i="5"/>
  <c r="I71" i="5"/>
  <c r="H71" i="5"/>
  <c r="G71" i="5"/>
  <c r="I70" i="5"/>
  <c r="H70" i="5"/>
  <c r="G70" i="5"/>
  <c r="I69" i="5"/>
  <c r="H69" i="5"/>
  <c r="G69" i="5"/>
  <c r="I68" i="5"/>
  <c r="H68" i="5"/>
  <c r="G68" i="5"/>
  <c r="I67" i="5"/>
  <c r="H67" i="5"/>
  <c r="G67" i="5"/>
  <c r="I66" i="5"/>
  <c r="H66" i="5"/>
  <c r="G66" i="5"/>
  <c r="I65" i="5"/>
  <c r="H65" i="5"/>
  <c r="G65" i="5"/>
  <c r="I64" i="5"/>
  <c r="H64" i="5"/>
  <c r="G64" i="5"/>
  <c r="I63" i="5"/>
  <c r="H63" i="5"/>
  <c r="G63" i="5"/>
  <c r="I62" i="5"/>
  <c r="H62" i="5"/>
  <c r="G62" i="5"/>
  <c r="I61" i="5"/>
  <c r="H61" i="5"/>
  <c r="G61" i="5"/>
  <c r="I60" i="5"/>
  <c r="H60" i="5"/>
  <c r="G60" i="5"/>
  <c r="I59" i="5"/>
  <c r="H59" i="5"/>
  <c r="G59" i="5"/>
  <c r="I58" i="5"/>
  <c r="H58" i="5"/>
  <c r="G58" i="5"/>
  <c r="I57" i="5"/>
  <c r="H57" i="5"/>
  <c r="G57" i="5"/>
  <c r="I56" i="5"/>
  <c r="H56" i="5"/>
  <c r="G56" i="5"/>
  <c r="I55" i="5"/>
  <c r="H55" i="5"/>
  <c r="G55" i="5"/>
  <c r="I54" i="5"/>
  <c r="H54" i="5"/>
  <c r="G54" i="5"/>
  <c r="I53" i="5"/>
  <c r="H53" i="5"/>
  <c r="G53" i="5"/>
  <c r="I52" i="5"/>
  <c r="H52" i="5"/>
  <c r="G52" i="5"/>
  <c r="I51" i="5"/>
  <c r="H51" i="5"/>
  <c r="G51" i="5"/>
  <c r="I50" i="5"/>
  <c r="H50" i="5"/>
  <c r="G50" i="5"/>
  <c r="I49" i="5"/>
  <c r="H49" i="5"/>
  <c r="G49" i="5"/>
  <c r="I48" i="5"/>
  <c r="H48" i="5"/>
  <c r="G48" i="5"/>
  <c r="I47" i="5"/>
  <c r="H47" i="5"/>
  <c r="G47" i="5"/>
  <c r="I46" i="5"/>
  <c r="H46" i="5"/>
  <c r="G46" i="5"/>
  <c r="I45" i="5"/>
  <c r="H45" i="5"/>
  <c r="G45" i="5"/>
  <c r="I44" i="5"/>
  <c r="H44" i="5"/>
  <c r="G44" i="5"/>
  <c r="I43" i="5"/>
  <c r="H43" i="5"/>
  <c r="G43" i="5"/>
  <c r="I42" i="5"/>
  <c r="H42" i="5"/>
  <c r="G42" i="5"/>
  <c r="I41" i="5"/>
  <c r="H41" i="5"/>
  <c r="G41" i="5"/>
  <c r="I40" i="5"/>
  <c r="H40" i="5"/>
  <c r="G40" i="5"/>
  <c r="I39" i="5"/>
  <c r="H39" i="5"/>
  <c r="G39" i="5"/>
  <c r="I38" i="5"/>
  <c r="H38" i="5"/>
  <c r="G38" i="5"/>
  <c r="I37" i="5"/>
  <c r="H37" i="5"/>
  <c r="G37" i="5"/>
  <c r="I36" i="5"/>
  <c r="H36" i="5"/>
  <c r="G36" i="5"/>
  <c r="I35" i="5"/>
  <c r="H35" i="5"/>
  <c r="G35" i="5"/>
  <c r="I34" i="5"/>
  <c r="H34" i="5"/>
  <c r="G34" i="5"/>
  <c r="I33" i="5"/>
  <c r="H33" i="5"/>
  <c r="G33" i="5"/>
  <c r="I32" i="5"/>
  <c r="H32" i="5"/>
  <c r="G32" i="5"/>
  <c r="I31" i="5"/>
  <c r="H31" i="5"/>
  <c r="G31" i="5"/>
  <c r="I30" i="5"/>
  <c r="H30" i="5"/>
  <c r="G30" i="5"/>
  <c r="I29" i="5"/>
  <c r="H29" i="5"/>
  <c r="G29" i="5"/>
  <c r="I28" i="5"/>
  <c r="H28" i="5"/>
  <c r="G28" i="5"/>
  <c r="I27" i="5"/>
  <c r="H27" i="5"/>
  <c r="G27" i="5"/>
  <c r="I26" i="5"/>
  <c r="H26" i="5"/>
  <c r="G26" i="5"/>
  <c r="I25" i="5"/>
  <c r="H25" i="5"/>
  <c r="G25" i="5"/>
  <c r="I24" i="5"/>
  <c r="H24" i="5"/>
  <c r="G24" i="5"/>
  <c r="I23" i="5"/>
  <c r="H23" i="5"/>
  <c r="G23" i="5"/>
  <c r="I22" i="5"/>
  <c r="H22" i="5"/>
  <c r="G22" i="5"/>
  <c r="I21" i="5"/>
  <c r="H21" i="5"/>
  <c r="G21" i="5"/>
  <c r="I20" i="5"/>
  <c r="H20" i="5"/>
  <c r="G20" i="5"/>
  <c r="I19" i="5"/>
  <c r="H19" i="5"/>
  <c r="G19" i="5"/>
  <c r="I18" i="5"/>
  <c r="H18" i="5"/>
  <c r="G18" i="5"/>
  <c r="I17" i="5"/>
  <c r="H17" i="5"/>
  <c r="G17" i="5"/>
  <c r="I16" i="5"/>
  <c r="H16" i="5"/>
  <c r="G16" i="5"/>
  <c r="I15" i="5"/>
  <c r="H15" i="5"/>
  <c r="G15" i="5"/>
  <c r="I14" i="5"/>
  <c r="H14" i="5"/>
  <c r="G14" i="5"/>
  <c r="I13" i="5"/>
  <c r="H13" i="5"/>
  <c r="G13" i="5"/>
  <c r="I12" i="5"/>
  <c r="H12" i="5"/>
  <c r="G12" i="5"/>
  <c r="I11" i="5"/>
  <c r="H11" i="5"/>
  <c r="G11" i="5"/>
  <c r="I10" i="5"/>
  <c r="H10" i="5"/>
  <c r="G10" i="5"/>
  <c r="I9" i="5"/>
  <c r="H9" i="5"/>
  <c r="G9" i="5"/>
  <c r="I8" i="5"/>
  <c r="H8" i="5"/>
  <c r="G8" i="5"/>
  <c r="I7" i="5"/>
  <c r="H7" i="5"/>
  <c r="G7" i="5"/>
  <c r="I6" i="5"/>
  <c r="H6" i="5"/>
  <c r="G6" i="5"/>
  <c r="I5" i="5"/>
  <c r="H5" i="5"/>
  <c r="G5" i="5"/>
  <c r="I4" i="5"/>
  <c r="H4" i="5"/>
  <c r="G4" i="5"/>
  <c r="I3" i="5"/>
  <c r="H3" i="5"/>
  <c r="G3" i="5"/>
  <c r="I2" i="5"/>
  <c r="H2" i="5"/>
  <c r="G2" i="5"/>
  <c r="E6" i="4"/>
  <c r="D6" i="4"/>
  <c r="D5" i="4"/>
  <c r="E5" i="4" s="1"/>
  <c r="D4" i="4"/>
  <c r="E4" i="4" s="1"/>
  <c r="D3" i="4"/>
  <c r="E3" i="4" s="1"/>
  <c r="E2" i="4"/>
  <c r="E8" i="1" s="1"/>
  <c r="D2" i="4"/>
  <c r="B6" i="3"/>
  <c r="B5" i="3"/>
  <c r="D3" i="3"/>
  <c r="B7" i="3" s="1"/>
  <c r="D8" i="1" s="1"/>
  <c r="D2" i="3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8" i="1"/>
  <c r="B8" i="1"/>
  <c r="F161" i="5" l="1"/>
  <c r="G162" i="5"/>
</calcChain>
</file>

<file path=xl/sharedStrings.xml><?xml version="1.0" encoding="utf-8"?>
<sst xmlns="http://schemas.openxmlformats.org/spreadsheetml/2006/main" count="278" uniqueCount="84">
  <si>
    <t>Marketing Funnel Drop-off &amp; New User Acquisition Investigation</t>
  </si>
  <si>
    <t>Business Question</t>
  </si>
  <si>
    <t>New-user acquisition declined in December. Is the decline driven by traffic volume, conversion deterioration, channel concentration, or downstream funnel performance?</t>
  </si>
  <si>
    <t>Key Findings</t>
  </si>
  <si>
    <t>No material decline</t>
  </si>
  <si>
    <t>New Users</t>
  </si>
  <si>
    <t>Visitors</t>
  </si>
  <si>
    <t>New User Rate</t>
  </si>
  <si>
    <t>Channel Decline Range</t>
  </si>
  <si>
    <t>Checkout→Purchase</t>
  </si>
  <si>
    <t>Conclusion</t>
  </si>
  <si>
    <t>The decline is primarily volume-driven. No material deterioration in conversion was observed at any stage during the decline period — new-user rate and checkout-to-purchase rate both held steady or improved. The next investigation should focus on acquisition delivery and seasonality, not funnel optimization.</t>
  </si>
  <si>
    <t>Recommended Next Steps</t>
  </si>
  <si>
    <t>•  Don't reallocate budget away from any single channel — the decline is proportional across all major sources.</t>
  </si>
  <si>
    <t>•  Don't prioritize funnel or checkout optimization for this specific drop — conversion held steady or improved.</t>
  </si>
  <si>
    <t>•  Validate the seasonality read against the same calendar window in a prior year, if available.</t>
  </si>
  <si>
    <t>•  Consider a retention push aimed at the ~49K new users acquired during the December peak.</t>
  </si>
  <si>
    <t>Definitions</t>
  </si>
  <si>
    <t>Cart Rate</t>
  </si>
  <si>
    <t>Users who added to cart ÷ users who viewed a product</t>
  </si>
  <si>
    <t>Checkout Rate</t>
  </si>
  <si>
    <t>Users who began checkout ÷ users who added to cart</t>
  </si>
  <si>
    <t>Purchase Rate</t>
  </si>
  <si>
    <t>Users who purchased ÷ users who began checkout</t>
  </si>
  <si>
    <t>Checkout-to-Purchase Rate</t>
  </si>
  <si>
    <t>Purchase users ÷ checkout users (Downstream Conversion tab, weekly)</t>
  </si>
  <si>
    <t>Full methodology, hypotheses, and findings: Marketing_Funnel_Dropoff_Case_Study.docx</t>
  </si>
  <si>
    <t>Date</t>
  </si>
  <si>
    <t>7-Day Average</t>
  </si>
  <si>
    <t>Period</t>
  </si>
  <si>
    <t>Dec 1-14 (peak)</t>
  </si>
  <si>
    <t>Dec 18-31 (after drop)</t>
  </si>
  <si>
    <t>Visitor % Change</t>
  </si>
  <si>
    <t>New User % Change</t>
  </si>
  <si>
    <t>New User Rate Change (pp)</t>
  </si>
  <si>
    <t>Source</t>
  </si>
  <si>
    <t>Peak (Dec 1-14)</t>
  </si>
  <si>
    <t>After Drop (Dec 18-31)</t>
  </si>
  <si>
    <t>Change</t>
  </si>
  <si>
    <t>% Change</t>
  </si>
  <si>
    <t>google</t>
  </si>
  <si>
    <t>&lt;Other&gt;</t>
  </si>
  <si>
    <t>(direct)</t>
  </si>
  <si>
    <t>shop.googlemerchandisestore.com</t>
  </si>
  <si>
    <t>(data deleted)</t>
  </si>
  <si>
    <t>Viewed</t>
  </si>
  <si>
    <t>Added to Cart</t>
  </si>
  <si>
    <t>Checked Out</t>
  </si>
  <si>
    <t>Purchased</t>
  </si>
  <si>
    <t>Summary by Source (December total)</t>
  </si>
  <si>
    <t>Week Start</t>
  </si>
  <si>
    <t>Checkout Users</t>
  </si>
  <si>
    <t>Purchase Users</t>
  </si>
  <si>
    <t>Change vs. Prior Week (pp)</t>
  </si>
  <si>
    <t>Note</t>
  </si>
  <si>
    <t>Campaign</t>
  </si>
  <si>
    <t>Impressions</t>
  </si>
  <si>
    <t>Clicks</t>
  </si>
  <si>
    <t>Conversions</t>
  </si>
  <si>
    <t>Approved Conversions</t>
  </si>
  <si>
    <t>Spend</t>
  </si>
  <si>
    <t>CTR</t>
  </si>
  <si>
    <t>Conversion Rate</t>
  </si>
  <si>
    <t>Approval Rate</t>
  </si>
  <si>
    <t>CPC</t>
  </si>
  <si>
    <t>Cost / Conversion</t>
  </si>
  <si>
    <t>Cost / Approved Conversion</t>
  </si>
  <si>
    <t>1178</t>
  </si>
  <si>
    <t>916</t>
  </si>
  <si>
    <t>936</t>
  </si>
  <si>
    <t>Note: Campaign 916 has by far the smallest sample (54 rows, 24 approved conversions) — its strong efficiency numbers are a signal worth investigating, not a settled conclusion given the small base.</t>
  </si>
  <si>
    <t>Age</t>
  </si>
  <si>
    <t>Gender</t>
  </si>
  <si>
    <t>30-34</t>
  </si>
  <si>
    <t>F</t>
  </si>
  <si>
    <t>M</t>
  </si>
  <si>
    <t>35-39</t>
  </si>
  <si>
    <t>40-44</t>
  </si>
  <si>
    <t>45-49</t>
  </si>
  <si>
    <t>382 of 1143 rows excluded — campaign_id and fb_campaign_id are blank in the source data for those rows, Not usable for a campaign or audience breakdown .</t>
  </si>
  <si>
    <t>data deleted</t>
  </si>
  <si>
    <t>direct</t>
  </si>
  <si>
    <t>Other</t>
  </si>
  <si>
    <t xml:space="preserve">Users whose first-ever visit (first_visit event) falls in the period — used as a proxy for signups, since this dataset has no direct signup event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</si>
</sst>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0.00%;\-0.00%"/>
    <numFmt numFmtId="166" formatCode="yyyy\-mm\-dd"/>
    <numFmt numFmtId="167" formatCode="\$#,##0.00"/>
  </numFmts>
  <fonts count="17" x14ac:knownFonts="1">
    <font>
      <sz val="11"/>
      <color theme="1"/>
      <name val="Calibri"/>
      <family val="2"/>
      <charset val="1"/>
    </font>
    <font>
      <b/>
      <sz val="15"/>
      <color rgb="FF5B2C8D"/>
      <name val="Arial"/>
      <charset val="1"/>
    </font>
    <font>
      <sz val="10"/>
      <name val="Arial"/>
      <charset val="1"/>
    </font>
    <font>
      <sz val="9"/>
      <color rgb="FF555555"/>
      <name val="Arial"/>
      <charset val="1"/>
    </font>
    <font>
      <i/>
      <sz val="9"/>
      <color rgb="FF777777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i/>
      <sz val="9"/>
      <color theme="1" tint="0.34998626667073579"/>
      <name val="Arial"/>
      <family val="2"/>
    </font>
    <font>
      <i/>
      <sz val="9"/>
      <color rgb="FF777777"/>
      <name val="Arial"/>
      <family val="2"/>
    </font>
    <font>
      <i/>
      <sz val="9"/>
      <color theme="1" tint="0.249977111117893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charset val="1"/>
    </font>
    <font>
      <i/>
      <sz val="10"/>
      <color rgb="FF777777"/>
      <name val="Arial"/>
      <family val="2"/>
    </font>
    <font>
      <b/>
      <sz val="13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5B2C8D"/>
        <bgColor rgb="FF660066"/>
      </patternFill>
    </fill>
    <fill>
      <patternFill patternType="solid">
        <fgColor theme="5" tint="0.39997558519241921"/>
        <bgColor rgb="FF660066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5" fillId="3" borderId="0" xfId="0" applyFont="1" applyFill="1" applyAlignment="1">
      <alignment horizontal="center"/>
    </xf>
    <xf numFmtId="166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2" fontId="2" fillId="0" borderId="0" xfId="0" applyNumberFormat="1" applyFont="1"/>
    <xf numFmtId="167" fontId="2" fillId="0" borderId="0" xfId="0" applyNumberFormat="1" applyFont="1"/>
    <xf numFmtId="10" fontId="2" fillId="0" borderId="0" xfId="0" applyNumberFormat="1" applyFont="1"/>
    <xf numFmtId="0" fontId="7" fillId="0" borderId="0" xfId="0" applyFont="1"/>
    <xf numFmtId="0" fontId="5" fillId="4" borderId="0" xfId="0" applyFont="1" applyFill="1" applyAlignment="1">
      <alignment horizontal="center"/>
    </xf>
    <xf numFmtId="0" fontId="0" fillId="5" borderId="0" xfId="0" applyFill="1"/>
    <xf numFmtId="0" fontId="8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16" fillId="2" borderId="1" xfId="0" applyFont="1" applyFill="1" applyBorder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77777"/>
      <rgbColor rgb="FFB3B3B3"/>
      <rgbColor rgb="FF003366"/>
      <rgbColor rgb="FF4F81BD"/>
      <rgbColor rgb="FF003300"/>
      <rgbColor rgb="FF555555"/>
      <rgbColor rgb="FF993300"/>
      <rgbColor rgb="FFC0504D"/>
      <rgbColor rgb="FF5B2C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New Users by Day (with 7-day average)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Trend!$B$1</c:f>
              <c:strCache>
                <c:ptCount val="1"/>
                <c:pt idx="0">
                  <c:v>New Users</c:v>
                </c:pt>
              </c:strCache>
            </c:strRef>
          </c:tx>
          <c:spPr>
            <a:ln w="9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Trend!$A$2:$A$93</c:f>
              <c:numCache>
                <c:formatCode>yyyy\-mm\-dd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</c:numCache>
            </c:numRef>
          </c:cat>
          <c:val>
            <c:numRef>
              <c:f>Trend!$B$2:$B$93</c:f>
              <c:numCache>
                <c:formatCode>General</c:formatCode>
                <c:ptCount val="92"/>
                <c:pt idx="0">
                  <c:v>1946</c:v>
                </c:pt>
                <c:pt idx="1">
                  <c:v>2485</c:v>
                </c:pt>
                <c:pt idx="2">
                  <c:v>3665</c:v>
                </c:pt>
                <c:pt idx="3">
                  <c:v>2847</c:v>
                </c:pt>
                <c:pt idx="4">
                  <c:v>2414</c:v>
                </c:pt>
                <c:pt idx="5">
                  <c:v>2026</c:v>
                </c:pt>
                <c:pt idx="6">
                  <c:v>1546</c:v>
                </c:pt>
                <c:pt idx="7">
                  <c:v>1520</c:v>
                </c:pt>
                <c:pt idx="8">
                  <c:v>2086</c:v>
                </c:pt>
                <c:pt idx="9">
                  <c:v>2452</c:v>
                </c:pt>
                <c:pt idx="10">
                  <c:v>2445</c:v>
                </c:pt>
                <c:pt idx="11">
                  <c:v>2274</c:v>
                </c:pt>
                <c:pt idx="12">
                  <c:v>2151</c:v>
                </c:pt>
                <c:pt idx="13">
                  <c:v>1622</c:v>
                </c:pt>
                <c:pt idx="14">
                  <c:v>1566</c:v>
                </c:pt>
                <c:pt idx="15">
                  <c:v>2334</c:v>
                </c:pt>
                <c:pt idx="16">
                  <c:v>2561</c:v>
                </c:pt>
                <c:pt idx="17">
                  <c:v>2636</c:v>
                </c:pt>
                <c:pt idx="18">
                  <c:v>2690</c:v>
                </c:pt>
                <c:pt idx="19">
                  <c:v>2626</c:v>
                </c:pt>
                <c:pt idx="20">
                  <c:v>2174</c:v>
                </c:pt>
                <c:pt idx="21">
                  <c:v>1887</c:v>
                </c:pt>
                <c:pt idx="22">
                  <c:v>2640</c:v>
                </c:pt>
                <c:pt idx="23">
                  <c:v>2741</c:v>
                </c:pt>
                <c:pt idx="24">
                  <c:v>2895</c:v>
                </c:pt>
                <c:pt idx="25">
                  <c:v>2879</c:v>
                </c:pt>
                <c:pt idx="26">
                  <c:v>2809</c:v>
                </c:pt>
                <c:pt idx="27">
                  <c:v>2452</c:v>
                </c:pt>
                <c:pt idx="28">
                  <c:v>2321</c:v>
                </c:pt>
                <c:pt idx="29">
                  <c:v>3059</c:v>
                </c:pt>
                <c:pt idx="30">
                  <c:v>3303</c:v>
                </c:pt>
                <c:pt idx="31">
                  <c:v>3184</c:v>
                </c:pt>
                <c:pt idx="32">
                  <c:v>3512</c:v>
                </c:pt>
                <c:pt idx="33">
                  <c:v>3247</c:v>
                </c:pt>
                <c:pt idx="34">
                  <c:v>2491</c:v>
                </c:pt>
                <c:pt idx="35">
                  <c:v>2405</c:v>
                </c:pt>
                <c:pt idx="36">
                  <c:v>3741</c:v>
                </c:pt>
                <c:pt idx="37">
                  <c:v>5483</c:v>
                </c:pt>
                <c:pt idx="38">
                  <c:v>4409</c:v>
                </c:pt>
                <c:pt idx="39">
                  <c:v>4051</c:v>
                </c:pt>
                <c:pt idx="40">
                  <c:v>3886</c:v>
                </c:pt>
                <c:pt idx="41">
                  <c:v>3126</c:v>
                </c:pt>
                <c:pt idx="42">
                  <c:v>2868</c:v>
                </c:pt>
                <c:pt idx="43">
                  <c:v>3691</c:v>
                </c:pt>
                <c:pt idx="44">
                  <c:v>3984</c:v>
                </c:pt>
                <c:pt idx="45">
                  <c:v>3849</c:v>
                </c:pt>
                <c:pt idx="46">
                  <c:v>3820</c:v>
                </c:pt>
                <c:pt idx="47">
                  <c:v>3546</c:v>
                </c:pt>
                <c:pt idx="48">
                  <c:v>2774</c:v>
                </c:pt>
                <c:pt idx="49">
                  <c:v>2562</c:v>
                </c:pt>
                <c:pt idx="50">
                  <c:v>2937</c:v>
                </c:pt>
                <c:pt idx="51">
                  <c:v>2717</c:v>
                </c:pt>
                <c:pt idx="52">
                  <c:v>2527</c:v>
                </c:pt>
                <c:pt idx="53">
                  <c:v>2241</c:v>
                </c:pt>
                <c:pt idx="54">
                  <c:v>2206</c:v>
                </c:pt>
                <c:pt idx="55">
                  <c:v>2209</c:v>
                </c:pt>
                <c:pt idx="56">
                  <c:v>2179</c:v>
                </c:pt>
                <c:pt idx="57">
                  <c:v>2577</c:v>
                </c:pt>
                <c:pt idx="58">
                  <c:v>2646</c:v>
                </c:pt>
                <c:pt idx="59">
                  <c:v>2513</c:v>
                </c:pt>
                <c:pt idx="60">
                  <c:v>2103</c:v>
                </c:pt>
                <c:pt idx="61">
                  <c:v>1916</c:v>
                </c:pt>
                <c:pt idx="62">
                  <c:v>2296</c:v>
                </c:pt>
                <c:pt idx="63">
                  <c:v>2254</c:v>
                </c:pt>
                <c:pt idx="64">
                  <c:v>2620</c:v>
                </c:pt>
                <c:pt idx="65">
                  <c:v>3478</c:v>
                </c:pt>
                <c:pt idx="66">
                  <c:v>4735</c:v>
                </c:pt>
                <c:pt idx="67">
                  <c:v>3493</c:v>
                </c:pt>
                <c:pt idx="68">
                  <c:v>3195</c:v>
                </c:pt>
                <c:pt idx="69">
                  <c:v>2551</c:v>
                </c:pt>
                <c:pt idx="70">
                  <c:v>2392</c:v>
                </c:pt>
                <c:pt idx="71">
                  <c:v>2980</c:v>
                </c:pt>
                <c:pt idx="72">
                  <c:v>3489</c:v>
                </c:pt>
                <c:pt idx="73">
                  <c:v>3439</c:v>
                </c:pt>
                <c:pt idx="74">
                  <c:v>3247</c:v>
                </c:pt>
                <c:pt idx="75">
                  <c:v>2971</c:v>
                </c:pt>
                <c:pt idx="76">
                  <c:v>2511</c:v>
                </c:pt>
                <c:pt idx="77">
                  <c:v>2374</c:v>
                </c:pt>
                <c:pt idx="78">
                  <c:v>2735</c:v>
                </c:pt>
                <c:pt idx="79">
                  <c:v>3057</c:v>
                </c:pt>
                <c:pt idx="80">
                  <c:v>3455</c:v>
                </c:pt>
                <c:pt idx="81">
                  <c:v>3398</c:v>
                </c:pt>
                <c:pt idx="82">
                  <c:v>2911</c:v>
                </c:pt>
                <c:pt idx="83">
                  <c:v>2400</c:v>
                </c:pt>
                <c:pt idx="84">
                  <c:v>2277</c:v>
                </c:pt>
                <c:pt idx="85">
                  <c:v>2842</c:v>
                </c:pt>
                <c:pt idx="86">
                  <c:v>2888</c:v>
                </c:pt>
                <c:pt idx="87">
                  <c:v>3045</c:v>
                </c:pt>
                <c:pt idx="88">
                  <c:v>2904</c:v>
                </c:pt>
                <c:pt idx="89">
                  <c:v>2733</c:v>
                </c:pt>
                <c:pt idx="90">
                  <c:v>2131</c:v>
                </c:pt>
                <c:pt idx="91">
                  <c:v>2126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19-4BE9-815D-5EFCF58CD245}"/>
            </c:ext>
          </c:extLst>
        </c:ser>
        <c:ser>
          <c:idx val="1"/>
          <c:order val="1"/>
          <c:tx>
            <c:strRef>
              <c:f>Trend!$C$1</c:f>
              <c:strCache>
                <c:ptCount val="1"/>
                <c:pt idx="0">
                  <c:v>7-Day Average</c:v>
                </c:pt>
              </c:strCache>
            </c:strRef>
          </c:tx>
          <c:spPr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Trend!$A$2:$A$93</c:f>
              <c:numCache>
                <c:formatCode>yyyy\-mm\-dd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</c:numCache>
            </c:numRef>
          </c:cat>
          <c:val>
            <c:numRef>
              <c:f>Trend!$C$2:$C$93</c:f>
              <c:numCache>
                <c:formatCode>General</c:formatCode>
                <c:ptCount val="92"/>
                <c:pt idx="6">
                  <c:v>2418.4285714285716</c:v>
                </c:pt>
                <c:pt idx="7">
                  <c:v>2357.5714285714284</c:v>
                </c:pt>
                <c:pt idx="8">
                  <c:v>2300.5714285714284</c:v>
                </c:pt>
                <c:pt idx="9">
                  <c:v>2127.2857142857142</c:v>
                </c:pt>
                <c:pt idx="10">
                  <c:v>2069.8571428571427</c:v>
                </c:pt>
                <c:pt idx="11">
                  <c:v>2049.8571428571427</c:v>
                </c:pt>
                <c:pt idx="12">
                  <c:v>2067.7142857142858</c:v>
                </c:pt>
                <c:pt idx="13">
                  <c:v>2078.5714285714284</c:v>
                </c:pt>
                <c:pt idx="14">
                  <c:v>2085.1428571428573</c:v>
                </c:pt>
                <c:pt idx="15">
                  <c:v>2120.5714285714284</c:v>
                </c:pt>
                <c:pt idx="16">
                  <c:v>2136.1428571428573</c:v>
                </c:pt>
                <c:pt idx="17">
                  <c:v>2163.4285714285716</c:v>
                </c:pt>
                <c:pt idx="18">
                  <c:v>2222.8571428571427</c:v>
                </c:pt>
                <c:pt idx="19">
                  <c:v>2290.7142857142858</c:v>
                </c:pt>
                <c:pt idx="20">
                  <c:v>2369.5714285714284</c:v>
                </c:pt>
                <c:pt idx="21">
                  <c:v>2415.4285714285716</c:v>
                </c:pt>
                <c:pt idx="22">
                  <c:v>2459.1428571428573</c:v>
                </c:pt>
                <c:pt idx="23">
                  <c:v>2484.8571428571427</c:v>
                </c:pt>
                <c:pt idx="24">
                  <c:v>2521.8571428571427</c:v>
                </c:pt>
                <c:pt idx="25">
                  <c:v>2548.8571428571427</c:v>
                </c:pt>
                <c:pt idx="26">
                  <c:v>2575</c:v>
                </c:pt>
                <c:pt idx="27">
                  <c:v>2614.7142857142858</c:v>
                </c:pt>
                <c:pt idx="28">
                  <c:v>2676.7142857142858</c:v>
                </c:pt>
                <c:pt idx="29">
                  <c:v>2736.5714285714284</c:v>
                </c:pt>
                <c:pt idx="30">
                  <c:v>2816.8571428571427</c:v>
                </c:pt>
                <c:pt idx="31">
                  <c:v>2858.1428571428573</c:v>
                </c:pt>
                <c:pt idx="32">
                  <c:v>2948.5714285714284</c:v>
                </c:pt>
                <c:pt idx="33">
                  <c:v>3011.1428571428573</c:v>
                </c:pt>
                <c:pt idx="34">
                  <c:v>3016.7142857142858</c:v>
                </c:pt>
                <c:pt idx="35">
                  <c:v>3028.7142857142858</c:v>
                </c:pt>
                <c:pt idx="36">
                  <c:v>3126.1428571428573</c:v>
                </c:pt>
                <c:pt idx="37">
                  <c:v>3437.5714285714284</c:v>
                </c:pt>
                <c:pt idx="38">
                  <c:v>3612.5714285714284</c:v>
                </c:pt>
                <c:pt idx="39">
                  <c:v>3689.5714285714284</c:v>
                </c:pt>
                <c:pt idx="40">
                  <c:v>3780.8571428571427</c:v>
                </c:pt>
                <c:pt idx="41">
                  <c:v>3871.5714285714284</c:v>
                </c:pt>
                <c:pt idx="42">
                  <c:v>3937.7142857142858</c:v>
                </c:pt>
                <c:pt idx="43">
                  <c:v>3930.5714285714284</c:v>
                </c:pt>
                <c:pt idx="44">
                  <c:v>3716.4285714285716</c:v>
                </c:pt>
                <c:pt idx="45">
                  <c:v>3636.4285714285716</c:v>
                </c:pt>
                <c:pt idx="46">
                  <c:v>3603.4285714285716</c:v>
                </c:pt>
                <c:pt idx="47">
                  <c:v>3554.8571428571427</c:v>
                </c:pt>
                <c:pt idx="48">
                  <c:v>3504.5714285714284</c:v>
                </c:pt>
                <c:pt idx="49">
                  <c:v>3460.8571428571427</c:v>
                </c:pt>
                <c:pt idx="50">
                  <c:v>3353.1428571428573</c:v>
                </c:pt>
                <c:pt idx="51">
                  <c:v>3172.1428571428573</c:v>
                </c:pt>
                <c:pt idx="52">
                  <c:v>2983.2857142857142</c:v>
                </c:pt>
                <c:pt idx="53">
                  <c:v>2757.7142857142858</c:v>
                </c:pt>
                <c:pt idx="54">
                  <c:v>2566.2857142857142</c:v>
                </c:pt>
                <c:pt idx="55">
                  <c:v>2485.5714285714284</c:v>
                </c:pt>
                <c:pt idx="56">
                  <c:v>2430.8571428571427</c:v>
                </c:pt>
                <c:pt idx="57">
                  <c:v>2379.4285714285716</c:v>
                </c:pt>
                <c:pt idx="58">
                  <c:v>2369.2857142857142</c:v>
                </c:pt>
                <c:pt idx="59">
                  <c:v>2367.2857142857142</c:v>
                </c:pt>
                <c:pt idx="60">
                  <c:v>2347.5714285714284</c:v>
                </c:pt>
                <c:pt idx="61">
                  <c:v>2306.1428571428573</c:v>
                </c:pt>
                <c:pt idx="62">
                  <c:v>2318.5714285714284</c:v>
                </c:pt>
                <c:pt idx="63">
                  <c:v>2329.2857142857142</c:v>
                </c:pt>
                <c:pt idx="64">
                  <c:v>2335.4285714285716</c:v>
                </c:pt>
                <c:pt idx="65">
                  <c:v>2454.2857142857142</c:v>
                </c:pt>
                <c:pt idx="66">
                  <c:v>2771.7142857142858</c:v>
                </c:pt>
                <c:pt idx="67">
                  <c:v>2970.2857142857142</c:v>
                </c:pt>
                <c:pt idx="68">
                  <c:v>3153</c:v>
                </c:pt>
                <c:pt idx="69">
                  <c:v>3189.4285714285716</c:v>
                </c:pt>
                <c:pt idx="70">
                  <c:v>3209.1428571428573</c:v>
                </c:pt>
                <c:pt idx="71">
                  <c:v>3260.5714285714284</c:v>
                </c:pt>
                <c:pt idx="72">
                  <c:v>3262.1428571428573</c:v>
                </c:pt>
                <c:pt idx="73">
                  <c:v>3077</c:v>
                </c:pt>
                <c:pt idx="74">
                  <c:v>3041.8571428571427</c:v>
                </c:pt>
                <c:pt idx="75">
                  <c:v>3009.8571428571427</c:v>
                </c:pt>
                <c:pt idx="76">
                  <c:v>3004.1428571428573</c:v>
                </c:pt>
                <c:pt idx="77">
                  <c:v>3001.5714285714284</c:v>
                </c:pt>
                <c:pt idx="78">
                  <c:v>2966.5714285714284</c:v>
                </c:pt>
                <c:pt idx="79">
                  <c:v>2904.8571428571427</c:v>
                </c:pt>
                <c:pt idx="80">
                  <c:v>2907.1428571428573</c:v>
                </c:pt>
                <c:pt idx="81">
                  <c:v>2928.7142857142858</c:v>
                </c:pt>
                <c:pt idx="82">
                  <c:v>2920.1428571428573</c:v>
                </c:pt>
                <c:pt idx="83">
                  <c:v>2904.2857142857142</c:v>
                </c:pt>
                <c:pt idx="84">
                  <c:v>2890.4285714285716</c:v>
                </c:pt>
                <c:pt idx="85">
                  <c:v>2905.7142857142858</c:v>
                </c:pt>
                <c:pt idx="86">
                  <c:v>2881.5714285714284</c:v>
                </c:pt>
                <c:pt idx="87">
                  <c:v>2823</c:v>
                </c:pt>
                <c:pt idx="88">
                  <c:v>2752.4285714285716</c:v>
                </c:pt>
                <c:pt idx="89">
                  <c:v>2727</c:v>
                </c:pt>
                <c:pt idx="90">
                  <c:v>2688.5714285714284</c:v>
                </c:pt>
                <c:pt idx="91">
                  <c:v>2667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19-4BE9-815D-5EFCF58CD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129326"/>
        <c:axId val="68893403"/>
      </c:lineChart>
      <c:dateAx>
        <c:axId val="581293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893403"/>
        <c:crosses val="autoZero"/>
        <c:auto val="1"/>
        <c:lblOffset val="100"/>
        <c:baseTimeUnit val="days"/>
      </c:dateAx>
      <c:valAx>
        <c:axId val="68893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29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Visitors vs. New Users: Peak vs. After Drop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'Period Comparison'!$B$1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'Period Comparison'!$A$2:$A$3</c:f>
              <c:strCache>
                <c:ptCount val="2"/>
                <c:pt idx="0">
                  <c:v>Dec 1-14 (peak)</c:v>
                </c:pt>
                <c:pt idx="1">
                  <c:v>Dec 18-31 (after drop)</c:v>
                </c:pt>
              </c:strCache>
            </c:strRef>
          </c:cat>
          <c:val>
            <c:numRef>
              <c:f>'Period Comparison'!$B$2:$B$3</c:f>
              <c:numCache>
                <c:formatCode>General</c:formatCode>
                <c:ptCount val="2"/>
                <c:pt idx="0">
                  <c:v>54308</c:v>
                </c:pt>
                <c:pt idx="1">
                  <c:v>38747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C-4866-BDF1-A71FEC36EC4E}"/>
            </c:ext>
          </c:extLst>
        </c:ser>
        <c:ser>
          <c:idx val="1"/>
          <c:order val="1"/>
          <c:tx>
            <c:strRef>
              <c:f>'Period Comparison'!$C$1</c:f>
              <c:strCache>
                <c:ptCount val="1"/>
                <c:pt idx="0">
                  <c:v>New Users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'Period Comparison'!$A$2:$A$3</c:f>
              <c:strCache>
                <c:ptCount val="2"/>
                <c:pt idx="0">
                  <c:v>Dec 1-14 (peak)</c:v>
                </c:pt>
                <c:pt idx="1">
                  <c:v>Dec 18-31 (after drop)</c:v>
                </c:pt>
              </c:strCache>
            </c:strRef>
          </c:cat>
          <c:val>
            <c:numRef>
              <c:f>'Period Comparison'!$C$2:$C$3</c:f>
              <c:numCache>
                <c:formatCode>General</c:formatCode>
                <c:ptCount val="2"/>
                <c:pt idx="0">
                  <c:v>49392</c:v>
                </c:pt>
                <c:pt idx="1">
                  <c:v>35731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C-4866-BDF1-A71FEC36E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96917"/>
        <c:axId val="58411137"/>
      </c:barChart>
      <c:catAx>
        <c:axId val="789969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411137"/>
        <c:crosses val="autoZero"/>
        <c:auto val="1"/>
        <c:lblAlgn val="ctr"/>
        <c:lblOffset val="100"/>
        <c:noMultiLvlLbl val="0"/>
      </c:catAx>
      <c:valAx>
        <c:axId val="58411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996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New Users by Channel: Peak vs. After Drop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Breakdown'!$B$1</c:f>
              <c:strCache>
                <c:ptCount val="1"/>
                <c:pt idx="0">
                  <c:v>Peak (Dec 1-14)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'Channel Breakdown'!$A$2:$A$6</c15:sqref>
                  </c15:fullRef>
                </c:ext>
              </c:extLst>
              <c:f>'Channel Breakdown'!$A$2:$A$5</c:f>
              <c:strCache>
                <c:ptCount val="4"/>
                <c:pt idx="0">
                  <c:v>google</c:v>
                </c:pt>
                <c:pt idx="1">
                  <c:v>Other</c:v>
                </c:pt>
                <c:pt idx="2">
                  <c:v>direct</c:v>
                </c:pt>
                <c:pt idx="3">
                  <c:v>shop.googlemerchandisestore.com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'Channel Breakdown'!$B$2:$B$6</c15:sqref>
                  </c15:fullRef>
                </c:ext>
              </c:extLst>
              <c:f>'Channel Breakdown'!$B$2:$B$5</c:f>
              <c:numCache>
                <c:formatCode>General</c:formatCode>
                <c:ptCount val="4"/>
                <c:pt idx="0">
                  <c:v>20144</c:v>
                </c:pt>
                <c:pt idx="1">
                  <c:v>14993</c:v>
                </c:pt>
                <c:pt idx="2">
                  <c:v>11752</c:v>
                </c:pt>
                <c:pt idx="3">
                  <c:v>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F-4FF1-B2F4-72753DB9B062}"/>
            </c:ext>
          </c:extLst>
        </c:ser>
        <c:ser>
          <c:idx val="1"/>
          <c:order val="1"/>
          <c:tx>
            <c:strRef>
              <c:f>'Channel Breakdown'!$C$1</c:f>
              <c:strCache>
                <c:ptCount val="1"/>
                <c:pt idx="0">
                  <c:v>After Drop (Dec 18-31)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'Channel Breakdown'!$A$2:$A$6</c15:sqref>
                  </c15:fullRef>
                </c:ext>
              </c:extLst>
              <c:f>'Channel Breakdown'!$A$2:$A$5</c:f>
              <c:strCache>
                <c:ptCount val="4"/>
                <c:pt idx="0">
                  <c:v>google</c:v>
                </c:pt>
                <c:pt idx="1">
                  <c:v>Other</c:v>
                </c:pt>
                <c:pt idx="2">
                  <c:v>direct</c:v>
                </c:pt>
                <c:pt idx="3">
                  <c:v>shop.googlemerchandisestore.com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'Channel Breakdown'!$C$2:$C$6</c15:sqref>
                  </c15:fullRef>
                </c:ext>
              </c:extLst>
              <c:f>'Channel Breakdown'!$C$2:$C$5</c:f>
              <c:numCache>
                <c:formatCode>General</c:formatCode>
                <c:ptCount val="4"/>
                <c:pt idx="0">
                  <c:v>14499</c:v>
                </c:pt>
                <c:pt idx="1">
                  <c:v>10943</c:v>
                </c:pt>
                <c:pt idx="2">
                  <c:v>8524</c:v>
                </c:pt>
                <c:pt idx="3">
                  <c:v>1767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F-4FF1-B2F4-72753DB9B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67026"/>
        <c:axId val="58173423"/>
      </c:barChart>
      <c:catAx>
        <c:axId val="921670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73423"/>
        <c:crosses val="autoZero"/>
        <c:auto val="1"/>
        <c:lblAlgn val="ctr"/>
        <c:lblOffset val="100"/>
        <c:noMultiLvlLbl val="0"/>
      </c:catAx>
      <c:valAx>
        <c:axId val="58173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New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67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Weekly Checkout-to-Purchase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'Downstream Conversion'!$D$1</c:f>
              <c:strCache>
                <c:ptCount val="1"/>
                <c:pt idx="0">
                  <c:v>Checkout-to-Purchase Rate</c:v>
                </c:pt>
              </c:strCache>
            </c:strRef>
          </c:tx>
          <c:spPr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'Downstream Conversion'!$A$2:$A$15</c15:sqref>
                  </c15:fullRef>
                </c:ext>
              </c:extLst>
              <c:f>'Downstream Conversion'!$A$2:$A$14</c:f>
              <c:numCache>
                <c:formatCode>yyyy\-mm\-dd</c:formatCode>
                <c:ptCount val="13"/>
                <c:pt idx="0">
                  <c:v>44136</c:v>
                </c:pt>
                <c:pt idx="1">
                  <c:v>44143</c:v>
                </c:pt>
                <c:pt idx="2">
                  <c:v>44150</c:v>
                </c:pt>
                <c:pt idx="3">
                  <c:v>44157</c:v>
                </c:pt>
                <c:pt idx="4">
                  <c:v>44164</c:v>
                </c:pt>
                <c:pt idx="5">
                  <c:v>44171</c:v>
                </c:pt>
                <c:pt idx="6">
                  <c:v>44178</c:v>
                </c:pt>
                <c:pt idx="7">
                  <c:v>44185</c:v>
                </c:pt>
                <c:pt idx="8">
                  <c:v>44192</c:v>
                </c:pt>
                <c:pt idx="9">
                  <c:v>44199</c:v>
                </c:pt>
                <c:pt idx="10">
                  <c:v>44206</c:v>
                </c:pt>
                <c:pt idx="11">
                  <c:v>44213</c:v>
                </c:pt>
                <c:pt idx="12">
                  <c:v>44220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'Downstream Conversion'!$D$2:$D$15</c15:sqref>
                  </c15:fullRef>
                </c:ext>
              </c:extLst>
              <c:f>'Downstream Conversion'!$D$2:$D$14</c:f>
              <c:numCache>
                <c:formatCode>0.0%</c:formatCode>
                <c:ptCount val="13"/>
                <c:pt idx="0">
                  <c:v>0.26923076923076922</c:v>
                </c:pt>
                <c:pt idx="1">
                  <c:v>0.33836858006042297</c:v>
                </c:pt>
                <c:pt idx="2">
                  <c:v>0.35939086294416245</c:v>
                </c:pt>
                <c:pt idx="3">
                  <c:v>0.40337552742616034</c:v>
                </c:pt>
                <c:pt idx="4">
                  <c:v>0.44744976816074189</c:v>
                </c:pt>
                <c:pt idx="5">
                  <c:v>0.49483826565726086</c:v>
                </c:pt>
                <c:pt idx="6">
                  <c:v>0.57099697885196377</c:v>
                </c:pt>
                <c:pt idx="7">
                  <c:v>0.55853658536585371</c:v>
                </c:pt>
                <c:pt idx="8">
                  <c:v>0.56126482213438733</c:v>
                </c:pt>
                <c:pt idx="9">
                  <c:v>0.5</c:v>
                </c:pt>
                <c:pt idx="10">
                  <c:v>0.52336448598130836</c:v>
                </c:pt>
                <c:pt idx="11">
                  <c:v>0.59246575342465757</c:v>
                </c:pt>
                <c:pt idx="12">
                  <c:v>0.58378378378378382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CE-4EB9-817F-E66BEA8E9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064435"/>
        <c:axId val="19855900"/>
      </c:lineChart>
      <c:dateAx>
        <c:axId val="52064435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55900"/>
        <c:crosses val="autoZero"/>
        <c:auto val="1"/>
        <c:lblOffset val="100"/>
        <c:baseTimeUnit val="days"/>
      </c:dateAx>
      <c:valAx>
        <c:axId val="19855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064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Cost per Approved Conversion by Campaign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'FB Campaign Performance'!$L$3</c:f>
              <c:strCache>
                <c:ptCount val="1"/>
                <c:pt idx="0">
                  <c:v>Cost / Approved Conversion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'FB Campaign Performance'!$A$4:$A$6</c:f>
              <c:strCache>
                <c:ptCount val="3"/>
                <c:pt idx="0">
                  <c:v>1178</c:v>
                </c:pt>
                <c:pt idx="1">
                  <c:v>916</c:v>
                </c:pt>
                <c:pt idx="2">
                  <c:v>936</c:v>
                </c:pt>
              </c:strCache>
            </c:strRef>
          </c:cat>
          <c:val>
            <c:numRef>
              <c:f>'FB Campaign Performance'!$L$4:$L$6</c:f>
              <c:numCache>
                <c:formatCode>\$#,##0.00</c:formatCode>
                <c:ptCount val="3"/>
                <c:pt idx="0">
                  <c:v>43.854920634920632</c:v>
                </c:pt>
                <c:pt idx="1">
                  <c:v>6.237916666666667</c:v>
                </c:pt>
                <c:pt idx="2">
                  <c:v>15.810765027322404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0-461A-B2CB-279AB3978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333737"/>
        <c:axId val="16114670"/>
      </c:barChart>
      <c:catAx>
        <c:axId val="913337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114670"/>
        <c:crosses val="autoZero"/>
        <c:auto val="1"/>
        <c:lblAlgn val="ctr"/>
        <c:lblOffset val="100"/>
        <c:noMultiLvlLbl val="0"/>
      </c:catAx>
      <c:valAx>
        <c:axId val="161146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333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Cost per Approved Conversion by Age &amp;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'FB Audience Breakdown'!$J$1</c:f>
              <c:strCache>
                <c:ptCount val="1"/>
                <c:pt idx="0">
                  <c:v>Cost / Approved Conversion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'FB Audience Breakdown'!$A$2:$B$9</c:f>
              <c:multiLvlStrCache>
                <c:ptCount val="8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</c:lvl>
                <c:lvl>
                  <c:pt idx="0">
                    <c:v>30-34</c:v>
                  </c:pt>
                  <c:pt idx="1">
                    <c:v>30-34</c:v>
                  </c:pt>
                  <c:pt idx="2">
                    <c:v>35-39</c:v>
                  </c:pt>
                  <c:pt idx="3">
                    <c:v>35-39</c:v>
                  </c:pt>
                  <c:pt idx="4">
                    <c:v>40-44</c:v>
                  </c:pt>
                  <c:pt idx="5">
                    <c:v>40-44</c:v>
                  </c:pt>
                  <c:pt idx="6">
                    <c:v>45-49</c:v>
                  </c:pt>
                  <c:pt idx="7">
                    <c:v>45-49</c:v>
                  </c:pt>
                </c:lvl>
              </c:multiLvlStrCache>
            </c:multiLvlStrRef>
          </c:cat>
          <c:val>
            <c:numRef>
              <c:f>'FB Audience Breakdown'!$J$2:$J$9</c:f>
              <c:numCache>
                <c:formatCode>\$#,##0.00</c:formatCode>
                <c:ptCount val="8"/>
                <c:pt idx="0">
                  <c:v>7.0213953488372098</c:v>
                </c:pt>
                <c:pt idx="1">
                  <c:v>25.934385964912281</c:v>
                </c:pt>
                <c:pt idx="2">
                  <c:v>14.061304347826088</c:v>
                </c:pt>
                <c:pt idx="3">
                  <c:v>45.491603773584906</c:v>
                </c:pt>
                <c:pt idx="4">
                  <c:v>28.987692307692306</c:v>
                </c:pt>
                <c:pt idx="5">
                  <c:v>57.402753623188403</c:v>
                </c:pt>
                <c:pt idx="6">
                  <c:v>57.921599999999998</c:v>
                </c:pt>
                <c:pt idx="7">
                  <c:v>47.420476190476194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6-4501-8438-25837965D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57506"/>
        <c:axId val="25216412"/>
      </c:barChart>
      <c:catAx>
        <c:axId val="714575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16412"/>
        <c:crosses val="autoZero"/>
        <c:auto val="1"/>
        <c:lblAlgn val="ctr"/>
        <c:lblOffset val="100"/>
        <c:noMultiLvlLbl val="0"/>
      </c:catAx>
      <c:valAx>
        <c:axId val="252164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575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563880</xdr:colOff>
      <xdr:row>3</xdr:row>
      <xdr:rowOff>160020</xdr:rowOff>
    </xdr:from>
    <xdr:to>
      <xdr:col>18</xdr:col>
      <xdr:colOff>48000</xdr:colOff>
      <xdr:row>24</xdr:row>
      <xdr:rowOff>118560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15</xdr:col>
      <xdr:colOff>364320</xdr:colOff>
      <xdr:row>19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1866900</xdr:colOff>
      <xdr:row>6</xdr:row>
      <xdr:rowOff>152400</xdr:rowOff>
    </xdr:from>
    <xdr:to>
      <xdr:col>4</xdr:col>
      <xdr:colOff>1030980</xdr:colOff>
      <xdr:row>27</xdr:row>
      <xdr:rowOff>156660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121920</xdr:colOff>
      <xdr:row>1</xdr:row>
      <xdr:rowOff>68580</xdr:rowOff>
    </xdr:from>
    <xdr:to>
      <xdr:col>18</xdr:col>
      <xdr:colOff>108960</xdr:colOff>
      <xdr:row>22</xdr:row>
      <xdr:rowOff>34740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</xdr:colOff>
      <xdr:row>7</xdr:row>
      <xdr:rowOff>0</xdr:rowOff>
    </xdr:from>
    <xdr:to>
      <xdr:col>10</xdr:col>
      <xdr:colOff>7620</xdr:colOff>
      <xdr:row>19</xdr:row>
      <xdr:rowOff>160020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10</xdr:row>
      <xdr:rowOff>7620</xdr:rowOff>
    </xdr:from>
    <xdr:to>
      <xdr:col>9</xdr:col>
      <xdr:colOff>1348740</xdr:colOff>
      <xdr:row>28</xdr:row>
      <xdr:rowOff>167640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9"/>
  <sheetViews>
    <sheetView showGridLines="0" zoomScaleNormal="100" workbookViewId="0">
      <selection activeCell="H23" sqref="H23"/>
    </sheetView>
  </sheetViews>
  <sheetFormatPr defaultColWidth="8.6640625" defaultRowHeight="14.4" x14ac:dyDescent="0.3"/>
  <cols>
    <col min="1" max="1" width="3" customWidth="1"/>
    <col min="2" max="2" width="28.33203125" customWidth="1"/>
    <col min="3" max="5" width="16" customWidth="1"/>
    <col min="6" max="6" width="21" customWidth="1"/>
    <col min="7" max="7" width="3" customWidth="1"/>
  </cols>
  <sheetData>
    <row r="2" spans="2:11" ht="39.75" customHeight="1" x14ac:dyDescent="0.3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4" spans="2:11" ht="15" customHeight="1" x14ac:dyDescent="0.3">
      <c r="B4" s="20" t="s">
        <v>1</v>
      </c>
    </row>
    <row r="5" spans="2:11" ht="30" customHeight="1" x14ac:dyDescent="0.3">
      <c r="B5" s="27" t="s">
        <v>2</v>
      </c>
      <c r="C5" s="27"/>
      <c r="D5" s="27"/>
      <c r="E5" s="27"/>
      <c r="F5" s="27"/>
      <c r="G5" s="27"/>
      <c r="H5" s="27"/>
      <c r="I5" s="27"/>
      <c r="J5" s="27"/>
      <c r="K5" s="27"/>
    </row>
    <row r="7" spans="2:11" ht="15" customHeight="1" x14ac:dyDescent="0.3">
      <c r="B7" s="20" t="s">
        <v>3</v>
      </c>
    </row>
    <row r="8" spans="2:11" ht="33.75" customHeight="1" x14ac:dyDescent="0.3">
      <c r="B8" s="1">
        <f>'Period Comparison'!B6</f>
        <v>-0.27658325234855846</v>
      </c>
      <c r="C8" s="1">
        <f>'Period Comparison'!B5</f>
        <v>-0.28653237092141121</v>
      </c>
      <c r="D8" s="2">
        <f>'Period Comparison'!B7/100</f>
        <v>1.2682449339312507E-2</v>
      </c>
      <c r="E8" s="3" t="str">
        <f>"~"&amp;TEXT(-MAX('Channel Breakdown'!E2:E5),"0.0%")&amp;"-"&amp;TEXT(-MIN('Channel Breakdown'!E2:E5),"0.0%")</f>
        <v>~27.0%-29.5%</v>
      </c>
      <c r="F8" s="24" t="s">
        <v>4</v>
      </c>
    </row>
    <row r="9" spans="2:11" ht="25.5" customHeight="1" x14ac:dyDescent="0.3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</row>
    <row r="12" spans="2:11" ht="15" customHeight="1" x14ac:dyDescent="0.3">
      <c r="B12" s="20" t="s">
        <v>10</v>
      </c>
    </row>
    <row r="13" spans="2:11" ht="48" customHeight="1" x14ac:dyDescent="0.3">
      <c r="B13" s="27" t="s">
        <v>11</v>
      </c>
      <c r="C13" s="27"/>
      <c r="D13" s="27"/>
      <c r="E13" s="27"/>
      <c r="F13" s="27"/>
      <c r="G13" s="27"/>
      <c r="H13" s="27"/>
      <c r="I13" s="27"/>
      <c r="J13" s="27"/>
      <c r="K13" s="27"/>
    </row>
    <row r="15" spans="2:11" ht="15" customHeight="1" x14ac:dyDescent="0.3">
      <c r="B15" s="20" t="s">
        <v>12</v>
      </c>
    </row>
    <row r="16" spans="2:11" ht="25.5" customHeight="1" x14ac:dyDescent="0.3">
      <c r="B16" s="28" t="s">
        <v>13</v>
      </c>
      <c r="C16" s="28"/>
      <c r="D16" s="28"/>
      <c r="E16" s="28"/>
      <c r="F16" s="28"/>
      <c r="G16" s="28"/>
      <c r="H16" s="28"/>
      <c r="I16" s="28"/>
      <c r="J16" s="28"/>
      <c r="K16" s="28"/>
    </row>
    <row r="17" spans="2:11" ht="25.5" customHeight="1" x14ac:dyDescent="0.3">
      <c r="B17" s="29" t="s">
        <v>14</v>
      </c>
      <c r="C17" s="29"/>
      <c r="D17" s="29"/>
      <c r="E17" s="29"/>
      <c r="F17" s="29"/>
      <c r="G17" s="29"/>
      <c r="H17" s="29"/>
      <c r="I17" s="29"/>
      <c r="J17" s="29"/>
      <c r="K17" s="29"/>
    </row>
    <row r="18" spans="2:11" ht="25.5" customHeight="1" x14ac:dyDescent="0.3">
      <c r="B18" s="29" t="s">
        <v>15</v>
      </c>
      <c r="C18" s="29"/>
      <c r="D18" s="29"/>
      <c r="E18" s="29"/>
      <c r="F18" s="29"/>
      <c r="G18" s="29"/>
      <c r="H18" s="29"/>
      <c r="I18" s="29"/>
      <c r="J18" s="29"/>
      <c r="K18" s="29"/>
    </row>
    <row r="19" spans="2:11" ht="25.5" customHeight="1" x14ac:dyDescent="0.3">
      <c r="B19" s="29" t="s">
        <v>16</v>
      </c>
      <c r="C19" s="29"/>
      <c r="D19" s="29"/>
      <c r="E19" s="29"/>
      <c r="F19" s="29"/>
      <c r="G19" s="29"/>
      <c r="H19" s="29"/>
      <c r="I19" s="29"/>
      <c r="J19" s="29"/>
      <c r="K19" s="29"/>
    </row>
    <row r="21" spans="2:11" ht="15" customHeight="1" x14ac:dyDescent="0.3">
      <c r="B21" s="20" t="s">
        <v>17</v>
      </c>
    </row>
    <row r="22" spans="2:11" ht="24" customHeight="1" x14ac:dyDescent="0.3">
      <c r="B22" s="21" t="s">
        <v>5</v>
      </c>
      <c r="C22" s="25" t="s">
        <v>83</v>
      </c>
      <c r="D22" s="25"/>
      <c r="E22" s="25"/>
      <c r="F22" s="25"/>
    </row>
    <row r="23" spans="2:11" ht="24" customHeight="1" x14ac:dyDescent="0.3">
      <c r="B23" s="21" t="s">
        <v>18</v>
      </c>
      <c r="C23" s="25" t="s">
        <v>19</v>
      </c>
      <c r="D23" s="25"/>
      <c r="E23" s="25"/>
      <c r="F23" s="25"/>
    </row>
    <row r="24" spans="2:11" ht="24" customHeight="1" x14ac:dyDescent="0.3">
      <c r="B24" s="21" t="s">
        <v>20</v>
      </c>
      <c r="C24" s="25" t="s">
        <v>21</v>
      </c>
      <c r="D24" s="25"/>
      <c r="E24" s="25"/>
      <c r="F24" s="25"/>
    </row>
    <row r="25" spans="2:11" ht="24" customHeight="1" x14ac:dyDescent="0.3">
      <c r="B25" s="21" t="s">
        <v>22</v>
      </c>
      <c r="C25" s="25" t="s">
        <v>23</v>
      </c>
      <c r="D25" s="25"/>
      <c r="E25" s="25"/>
      <c r="F25" s="25"/>
    </row>
    <row r="26" spans="2:11" ht="24" customHeight="1" x14ac:dyDescent="0.3">
      <c r="B26" s="21" t="s">
        <v>24</v>
      </c>
      <c r="C26" s="25" t="s">
        <v>25</v>
      </c>
      <c r="D26" s="25"/>
      <c r="E26" s="25"/>
      <c r="F26" s="25"/>
    </row>
    <row r="27" spans="2:11" x14ac:dyDescent="0.3">
      <c r="B27" s="22"/>
      <c r="C27" s="22"/>
      <c r="D27" s="22"/>
      <c r="E27" s="22"/>
      <c r="F27" s="22"/>
    </row>
    <row r="28" spans="2:11" ht="15" customHeight="1" x14ac:dyDescent="0.3">
      <c r="B28" s="23" t="s">
        <v>26</v>
      </c>
      <c r="C28" s="22"/>
      <c r="D28" s="22"/>
      <c r="E28" s="22"/>
      <c r="F28" s="22"/>
    </row>
    <row r="29" spans="2:11" x14ac:dyDescent="0.3">
      <c r="B29" s="22"/>
      <c r="C29" s="22"/>
      <c r="D29" s="22"/>
      <c r="E29" s="22"/>
      <c r="F29" s="22"/>
    </row>
  </sheetData>
  <mergeCells count="12">
    <mergeCell ref="C25:F25"/>
    <mergeCell ref="C26:F26"/>
    <mergeCell ref="B2:K2"/>
    <mergeCell ref="B5:K5"/>
    <mergeCell ref="B13:K13"/>
    <mergeCell ref="B16:K16"/>
    <mergeCell ref="B17:K17"/>
    <mergeCell ref="B18:K18"/>
    <mergeCell ref="B19:K19"/>
    <mergeCell ref="C22:F22"/>
    <mergeCell ref="C23:F23"/>
    <mergeCell ref="C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3"/>
  <sheetViews>
    <sheetView tabSelected="1" zoomScaleNormal="100" workbookViewId="0">
      <pane ySplit="1" topLeftCell="A3" activePane="bottomLeft" state="frozen"/>
      <selection pane="bottomLeft" activeCell="T22" sqref="T22"/>
    </sheetView>
  </sheetViews>
  <sheetFormatPr defaultColWidth="8.6640625" defaultRowHeight="14.4" x14ac:dyDescent="0.3"/>
  <cols>
    <col min="1" max="2" width="12" customWidth="1"/>
    <col min="3" max="3" width="16.21875" customWidth="1"/>
  </cols>
  <sheetData>
    <row r="1" spans="1:3" s="17" customFormat="1" ht="15" customHeight="1" x14ac:dyDescent="0.3">
      <c r="A1" s="16" t="s">
        <v>27</v>
      </c>
      <c r="B1" s="16" t="s">
        <v>5</v>
      </c>
      <c r="C1" s="16" t="s">
        <v>28</v>
      </c>
    </row>
    <row r="2" spans="1:3" ht="15" customHeight="1" x14ac:dyDescent="0.3">
      <c r="A2" s="6">
        <v>44136</v>
      </c>
      <c r="B2" s="7">
        <v>1946</v>
      </c>
      <c r="C2" s="7"/>
    </row>
    <row r="3" spans="1:3" ht="15" customHeight="1" x14ac:dyDescent="0.3">
      <c r="A3" s="6">
        <v>44137</v>
      </c>
      <c r="B3" s="7">
        <v>2485</v>
      </c>
      <c r="C3" s="7"/>
    </row>
    <row r="4" spans="1:3" ht="15" customHeight="1" x14ac:dyDescent="0.3">
      <c r="A4" s="6">
        <v>44138</v>
      </c>
      <c r="B4" s="7">
        <v>3665</v>
      </c>
      <c r="C4" s="7"/>
    </row>
    <row r="5" spans="1:3" ht="15" customHeight="1" x14ac:dyDescent="0.3">
      <c r="A5" s="6">
        <v>44139</v>
      </c>
      <c r="B5" s="7">
        <v>2847</v>
      </c>
      <c r="C5" s="7"/>
    </row>
    <row r="6" spans="1:3" ht="15" customHeight="1" x14ac:dyDescent="0.3">
      <c r="A6" s="6">
        <v>44140</v>
      </c>
      <c r="B6" s="7">
        <v>2414</v>
      </c>
      <c r="C6" s="7"/>
    </row>
    <row r="7" spans="1:3" ht="15" customHeight="1" x14ac:dyDescent="0.3">
      <c r="A7" s="6">
        <v>44141</v>
      </c>
      <c r="B7" s="7">
        <v>2026</v>
      </c>
      <c r="C7" s="7"/>
    </row>
    <row r="8" spans="1:3" ht="15" customHeight="1" x14ac:dyDescent="0.3">
      <c r="A8" s="6">
        <v>44142</v>
      </c>
      <c r="B8" s="7">
        <v>1546</v>
      </c>
      <c r="C8" s="7">
        <f t="shared" ref="C8:C39" si="0">AVERAGE(B2:B8)</f>
        <v>2418.4285714285716</v>
      </c>
    </row>
    <row r="9" spans="1:3" ht="15" customHeight="1" x14ac:dyDescent="0.3">
      <c r="A9" s="6">
        <v>44143</v>
      </c>
      <c r="B9" s="7">
        <v>1520</v>
      </c>
      <c r="C9" s="7">
        <f t="shared" si="0"/>
        <v>2357.5714285714284</v>
      </c>
    </row>
    <row r="10" spans="1:3" ht="15" customHeight="1" x14ac:dyDescent="0.3">
      <c r="A10" s="6">
        <v>44144</v>
      </c>
      <c r="B10" s="7">
        <v>2086</v>
      </c>
      <c r="C10" s="7">
        <f t="shared" si="0"/>
        <v>2300.5714285714284</v>
      </c>
    </row>
    <row r="11" spans="1:3" ht="15" customHeight="1" x14ac:dyDescent="0.3">
      <c r="A11" s="6">
        <v>44145</v>
      </c>
      <c r="B11" s="7">
        <v>2452</v>
      </c>
      <c r="C11" s="7">
        <f t="shared" si="0"/>
        <v>2127.2857142857142</v>
      </c>
    </row>
    <row r="12" spans="1:3" ht="15" customHeight="1" x14ac:dyDescent="0.3">
      <c r="A12" s="6">
        <v>44146</v>
      </c>
      <c r="B12" s="7">
        <v>2445</v>
      </c>
      <c r="C12" s="7">
        <f t="shared" si="0"/>
        <v>2069.8571428571427</v>
      </c>
    </row>
    <row r="13" spans="1:3" ht="15" customHeight="1" x14ac:dyDescent="0.3">
      <c r="A13" s="6">
        <v>44147</v>
      </c>
      <c r="B13" s="7">
        <v>2274</v>
      </c>
      <c r="C13" s="7">
        <f t="shared" si="0"/>
        <v>2049.8571428571427</v>
      </c>
    </row>
    <row r="14" spans="1:3" ht="15" customHeight="1" x14ac:dyDescent="0.3">
      <c r="A14" s="6">
        <v>44148</v>
      </c>
      <c r="B14" s="7">
        <v>2151</v>
      </c>
      <c r="C14" s="7">
        <f t="shared" si="0"/>
        <v>2067.7142857142858</v>
      </c>
    </row>
    <row r="15" spans="1:3" ht="15" customHeight="1" x14ac:dyDescent="0.3">
      <c r="A15" s="6">
        <v>44149</v>
      </c>
      <c r="B15" s="7">
        <v>1622</v>
      </c>
      <c r="C15" s="7">
        <f t="shared" si="0"/>
        <v>2078.5714285714284</v>
      </c>
    </row>
    <row r="16" spans="1:3" ht="15" customHeight="1" x14ac:dyDescent="0.3">
      <c r="A16" s="6">
        <v>44150</v>
      </c>
      <c r="B16" s="7">
        <v>1566</v>
      </c>
      <c r="C16" s="7">
        <f t="shared" si="0"/>
        <v>2085.1428571428573</v>
      </c>
    </row>
    <row r="17" spans="1:3" ht="15" customHeight="1" x14ac:dyDescent="0.3">
      <c r="A17" s="6">
        <v>44151</v>
      </c>
      <c r="B17" s="7">
        <v>2334</v>
      </c>
      <c r="C17" s="7">
        <f t="shared" si="0"/>
        <v>2120.5714285714284</v>
      </c>
    </row>
    <row r="18" spans="1:3" ht="15" customHeight="1" x14ac:dyDescent="0.3">
      <c r="A18" s="6">
        <v>44152</v>
      </c>
      <c r="B18" s="7">
        <v>2561</v>
      </c>
      <c r="C18" s="7">
        <f t="shared" si="0"/>
        <v>2136.1428571428573</v>
      </c>
    </row>
    <row r="19" spans="1:3" ht="15" customHeight="1" x14ac:dyDescent="0.3">
      <c r="A19" s="6">
        <v>44153</v>
      </c>
      <c r="B19" s="7">
        <v>2636</v>
      </c>
      <c r="C19" s="7">
        <f t="shared" si="0"/>
        <v>2163.4285714285716</v>
      </c>
    </row>
    <row r="20" spans="1:3" ht="15" customHeight="1" x14ac:dyDescent="0.3">
      <c r="A20" s="6">
        <v>44154</v>
      </c>
      <c r="B20" s="7">
        <v>2690</v>
      </c>
      <c r="C20" s="7">
        <f t="shared" si="0"/>
        <v>2222.8571428571427</v>
      </c>
    </row>
    <row r="21" spans="1:3" ht="15" customHeight="1" x14ac:dyDescent="0.3">
      <c r="A21" s="6">
        <v>44155</v>
      </c>
      <c r="B21" s="7">
        <v>2626</v>
      </c>
      <c r="C21" s="7">
        <f t="shared" si="0"/>
        <v>2290.7142857142858</v>
      </c>
    </row>
    <row r="22" spans="1:3" ht="15" customHeight="1" x14ac:dyDescent="0.3">
      <c r="A22" s="6">
        <v>44156</v>
      </c>
      <c r="B22" s="7">
        <v>2174</v>
      </c>
      <c r="C22" s="7">
        <f t="shared" si="0"/>
        <v>2369.5714285714284</v>
      </c>
    </row>
    <row r="23" spans="1:3" ht="15" customHeight="1" x14ac:dyDescent="0.3">
      <c r="A23" s="6">
        <v>44157</v>
      </c>
      <c r="B23" s="7">
        <v>1887</v>
      </c>
      <c r="C23" s="7">
        <f t="shared" si="0"/>
        <v>2415.4285714285716</v>
      </c>
    </row>
    <row r="24" spans="1:3" ht="15" customHeight="1" x14ac:dyDescent="0.3">
      <c r="A24" s="6">
        <v>44158</v>
      </c>
      <c r="B24" s="7">
        <v>2640</v>
      </c>
      <c r="C24" s="7">
        <f t="shared" si="0"/>
        <v>2459.1428571428573</v>
      </c>
    </row>
    <row r="25" spans="1:3" ht="15" customHeight="1" x14ac:dyDescent="0.3">
      <c r="A25" s="6">
        <v>44159</v>
      </c>
      <c r="B25" s="7">
        <v>2741</v>
      </c>
      <c r="C25" s="7">
        <f t="shared" si="0"/>
        <v>2484.8571428571427</v>
      </c>
    </row>
    <row r="26" spans="1:3" ht="15" customHeight="1" x14ac:dyDescent="0.3">
      <c r="A26" s="6">
        <v>44160</v>
      </c>
      <c r="B26" s="7">
        <v>2895</v>
      </c>
      <c r="C26" s="7">
        <f t="shared" si="0"/>
        <v>2521.8571428571427</v>
      </c>
    </row>
    <row r="27" spans="1:3" ht="15" customHeight="1" x14ac:dyDescent="0.3">
      <c r="A27" s="6">
        <v>44161</v>
      </c>
      <c r="B27" s="7">
        <v>2879</v>
      </c>
      <c r="C27" s="7">
        <f t="shared" si="0"/>
        <v>2548.8571428571427</v>
      </c>
    </row>
    <row r="28" spans="1:3" ht="15" customHeight="1" x14ac:dyDescent="0.3">
      <c r="A28" s="6">
        <v>44162</v>
      </c>
      <c r="B28" s="7">
        <v>2809</v>
      </c>
      <c r="C28" s="7">
        <f t="shared" si="0"/>
        <v>2575</v>
      </c>
    </row>
    <row r="29" spans="1:3" ht="15" customHeight="1" x14ac:dyDescent="0.3">
      <c r="A29" s="6">
        <v>44163</v>
      </c>
      <c r="B29" s="7">
        <v>2452</v>
      </c>
      <c r="C29" s="7">
        <f t="shared" si="0"/>
        <v>2614.7142857142858</v>
      </c>
    </row>
    <row r="30" spans="1:3" ht="15" customHeight="1" x14ac:dyDescent="0.3">
      <c r="A30" s="6">
        <v>44164</v>
      </c>
      <c r="B30" s="7">
        <v>2321</v>
      </c>
      <c r="C30" s="7">
        <f t="shared" si="0"/>
        <v>2676.7142857142858</v>
      </c>
    </row>
    <row r="31" spans="1:3" ht="15" customHeight="1" x14ac:dyDescent="0.3">
      <c r="A31" s="6">
        <v>44165</v>
      </c>
      <c r="B31" s="7">
        <v>3059</v>
      </c>
      <c r="C31" s="7">
        <f t="shared" si="0"/>
        <v>2736.5714285714284</v>
      </c>
    </row>
    <row r="32" spans="1:3" ht="15" customHeight="1" x14ac:dyDescent="0.3">
      <c r="A32" s="6">
        <v>44166</v>
      </c>
      <c r="B32" s="7">
        <v>3303</v>
      </c>
      <c r="C32" s="7">
        <f t="shared" si="0"/>
        <v>2816.8571428571427</v>
      </c>
    </row>
    <row r="33" spans="1:3" ht="15" customHeight="1" x14ac:dyDescent="0.3">
      <c r="A33" s="6">
        <v>44167</v>
      </c>
      <c r="B33" s="7">
        <v>3184</v>
      </c>
      <c r="C33" s="7">
        <f t="shared" si="0"/>
        <v>2858.1428571428573</v>
      </c>
    </row>
    <row r="34" spans="1:3" ht="15" customHeight="1" x14ac:dyDescent="0.3">
      <c r="A34" s="6">
        <v>44168</v>
      </c>
      <c r="B34" s="7">
        <v>3512</v>
      </c>
      <c r="C34" s="7">
        <f t="shared" si="0"/>
        <v>2948.5714285714284</v>
      </c>
    </row>
    <row r="35" spans="1:3" ht="15" customHeight="1" x14ac:dyDescent="0.3">
      <c r="A35" s="6">
        <v>44169</v>
      </c>
      <c r="B35" s="7">
        <v>3247</v>
      </c>
      <c r="C35" s="7">
        <f t="shared" si="0"/>
        <v>3011.1428571428573</v>
      </c>
    </row>
    <row r="36" spans="1:3" ht="15" customHeight="1" x14ac:dyDescent="0.3">
      <c r="A36" s="6">
        <v>44170</v>
      </c>
      <c r="B36" s="7">
        <v>2491</v>
      </c>
      <c r="C36" s="7">
        <f t="shared" si="0"/>
        <v>3016.7142857142858</v>
      </c>
    </row>
    <row r="37" spans="1:3" ht="15" customHeight="1" x14ac:dyDescent="0.3">
      <c r="A37" s="6">
        <v>44171</v>
      </c>
      <c r="B37" s="7">
        <v>2405</v>
      </c>
      <c r="C37" s="7">
        <f t="shared" si="0"/>
        <v>3028.7142857142858</v>
      </c>
    </row>
    <row r="38" spans="1:3" ht="15" customHeight="1" x14ac:dyDescent="0.3">
      <c r="A38" s="6">
        <v>44172</v>
      </c>
      <c r="B38" s="7">
        <v>3741</v>
      </c>
      <c r="C38" s="7">
        <f t="shared" si="0"/>
        <v>3126.1428571428573</v>
      </c>
    </row>
    <row r="39" spans="1:3" ht="15" customHeight="1" x14ac:dyDescent="0.3">
      <c r="A39" s="6">
        <v>44173</v>
      </c>
      <c r="B39" s="7">
        <v>5483</v>
      </c>
      <c r="C39" s="7">
        <f t="shared" si="0"/>
        <v>3437.5714285714284</v>
      </c>
    </row>
    <row r="40" spans="1:3" ht="15" customHeight="1" x14ac:dyDescent="0.3">
      <c r="A40" s="6">
        <v>44174</v>
      </c>
      <c r="B40" s="7">
        <v>4409</v>
      </c>
      <c r="C40" s="7">
        <f t="shared" ref="C40:C71" si="1">AVERAGE(B34:B40)</f>
        <v>3612.5714285714284</v>
      </c>
    </row>
    <row r="41" spans="1:3" ht="15" customHeight="1" x14ac:dyDescent="0.3">
      <c r="A41" s="6">
        <v>44175</v>
      </c>
      <c r="B41" s="7">
        <v>4051</v>
      </c>
      <c r="C41" s="7">
        <f t="shared" si="1"/>
        <v>3689.5714285714284</v>
      </c>
    </row>
    <row r="42" spans="1:3" ht="15" customHeight="1" x14ac:dyDescent="0.3">
      <c r="A42" s="6">
        <v>44176</v>
      </c>
      <c r="B42" s="7">
        <v>3886</v>
      </c>
      <c r="C42" s="7">
        <f t="shared" si="1"/>
        <v>3780.8571428571427</v>
      </c>
    </row>
    <row r="43" spans="1:3" ht="15" customHeight="1" x14ac:dyDescent="0.3">
      <c r="A43" s="6">
        <v>44177</v>
      </c>
      <c r="B43" s="7">
        <v>3126</v>
      </c>
      <c r="C43" s="7">
        <f t="shared" si="1"/>
        <v>3871.5714285714284</v>
      </c>
    </row>
    <row r="44" spans="1:3" ht="15" customHeight="1" x14ac:dyDescent="0.3">
      <c r="A44" s="6">
        <v>44178</v>
      </c>
      <c r="B44" s="7">
        <v>2868</v>
      </c>
      <c r="C44" s="7">
        <f t="shared" si="1"/>
        <v>3937.7142857142858</v>
      </c>
    </row>
    <row r="45" spans="1:3" ht="15" customHeight="1" x14ac:dyDescent="0.3">
      <c r="A45" s="6">
        <v>44179</v>
      </c>
      <c r="B45" s="7">
        <v>3691</v>
      </c>
      <c r="C45" s="7">
        <f t="shared" si="1"/>
        <v>3930.5714285714284</v>
      </c>
    </row>
    <row r="46" spans="1:3" ht="15" customHeight="1" x14ac:dyDescent="0.3">
      <c r="A46" s="6">
        <v>44180</v>
      </c>
      <c r="B46" s="7">
        <v>3984</v>
      </c>
      <c r="C46" s="7">
        <f t="shared" si="1"/>
        <v>3716.4285714285716</v>
      </c>
    </row>
    <row r="47" spans="1:3" ht="15" customHeight="1" x14ac:dyDescent="0.3">
      <c r="A47" s="6">
        <v>44181</v>
      </c>
      <c r="B47" s="7">
        <v>3849</v>
      </c>
      <c r="C47" s="7">
        <f t="shared" si="1"/>
        <v>3636.4285714285716</v>
      </c>
    </row>
    <row r="48" spans="1:3" ht="15" customHeight="1" x14ac:dyDescent="0.3">
      <c r="A48" s="6">
        <v>44182</v>
      </c>
      <c r="B48" s="7">
        <v>3820</v>
      </c>
      <c r="C48" s="7">
        <f t="shared" si="1"/>
        <v>3603.4285714285716</v>
      </c>
    </row>
    <row r="49" spans="1:3" ht="15" customHeight="1" x14ac:dyDescent="0.3">
      <c r="A49" s="6">
        <v>44183</v>
      </c>
      <c r="B49" s="7">
        <v>3546</v>
      </c>
      <c r="C49" s="7">
        <f t="shared" si="1"/>
        <v>3554.8571428571427</v>
      </c>
    </row>
    <row r="50" spans="1:3" ht="15" customHeight="1" x14ac:dyDescent="0.3">
      <c r="A50" s="6">
        <v>44184</v>
      </c>
      <c r="B50" s="7">
        <v>2774</v>
      </c>
      <c r="C50" s="7">
        <f t="shared" si="1"/>
        <v>3504.5714285714284</v>
      </c>
    </row>
    <row r="51" spans="1:3" ht="15" customHeight="1" x14ac:dyDescent="0.3">
      <c r="A51" s="6">
        <v>44185</v>
      </c>
      <c r="B51" s="7">
        <v>2562</v>
      </c>
      <c r="C51" s="7">
        <f t="shared" si="1"/>
        <v>3460.8571428571427</v>
      </c>
    </row>
    <row r="52" spans="1:3" ht="15" customHeight="1" x14ac:dyDescent="0.3">
      <c r="A52" s="6">
        <v>44186</v>
      </c>
      <c r="B52" s="7">
        <v>2937</v>
      </c>
      <c r="C52" s="7">
        <f t="shared" si="1"/>
        <v>3353.1428571428573</v>
      </c>
    </row>
    <row r="53" spans="1:3" ht="15" customHeight="1" x14ac:dyDescent="0.3">
      <c r="A53" s="6">
        <v>44187</v>
      </c>
      <c r="B53" s="7">
        <v>2717</v>
      </c>
      <c r="C53" s="7">
        <f t="shared" si="1"/>
        <v>3172.1428571428573</v>
      </c>
    </row>
    <row r="54" spans="1:3" ht="15" customHeight="1" x14ac:dyDescent="0.3">
      <c r="A54" s="6">
        <v>44188</v>
      </c>
      <c r="B54" s="7">
        <v>2527</v>
      </c>
      <c r="C54" s="7">
        <f t="shared" si="1"/>
        <v>2983.2857142857142</v>
      </c>
    </row>
    <row r="55" spans="1:3" ht="15" customHeight="1" x14ac:dyDescent="0.3">
      <c r="A55" s="6">
        <v>44189</v>
      </c>
      <c r="B55" s="7">
        <v>2241</v>
      </c>
      <c r="C55" s="7">
        <f t="shared" si="1"/>
        <v>2757.7142857142858</v>
      </c>
    </row>
    <row r="56" spans="1:3" ht="15" customHeight="1" x14ac:dyDescent="0.3">
      <c r="A56" s="6">
        <v>44190</v>
      </c>
      <c r="B56" s="7">
        <v>2206</v>
      </c>
      <c r="C56" s="7">
        <f t="shared" si="1"/>
        <v>2566.2857142857142</v>
      </c>
    </row>
    <row r="57" spans="1:3" ht="15" customHeight="1" x14ac:dyDescent="0.3">
      <c r="A57" s="6">
        <v>44191</v>
      </c>
      <c r="B57" s="7">
        <v>2209</v>
      </c>
      <c r="C57" s="7">
        <f t="shared" si="1"/>
        <v>2485.5714285714284</v>
      </c>
    </row>
    <row r="58" spans="1:3" ht="15" customHeight="1" x14ac:dyDescent="0.3">
      <c r="A58" s="6">
        <v>44192</v>
      </c>
      <c r="B58" s="7">
        <v>2179</v>
      </c>
      <c r="C58" s="7">
        <f t="shared" si="1"/>
        <v>2430.8571428571427</v>
      </c>
    </row>
    <row r="59" spans="1:3" ht="15" customHeight="1" x14ac:dyDescent="0.3">
      <c r="A59" s="6">
        <v>44193</v>
      </c>
      <c r="B59" s="7">
        <v>2577</v>
      </c>
      <c r="C59" s="7">
        <f t="shared" si="1"/>
        <v>2379.4285714285716</v>
      </c>
    </row>
    <row r="60" spans="1:3" ht="15" customHeight="1" x14ac:dyDescent="0.3">
      <c r="A60" s="6">
        <v>44194</v>
      </c>
      <c r="B60" s="7">
        <v>2646</v>
      </c>
      <c r="C60" s="7">
        <f t="shared" si="1"/>
        <v>2369.2857142857142</v>
      </c>
    </row>
    <row r="61" spans="1:3" ht="15" customHeight="1" x14ac:dyDescent="0.3">
      <c r="A61" s="6">
        <v>44195</v>
      </c>
      <c r="B61" s="7">
        <v>2513</v>
      </c>
      <c r="C61" s="7">
        <f t="shared" si="1"/>
        <v>2367.2857142857142</v>
      </c>
    </row>
    <row r="62" spans="1:3" ht="15" customHeight="1" x14ac:dyDescent="0.3">
      <c r="A62" s="6">
        <v>44196</v>
      </c>
      <c r="B62" s="7">
        <v>2103</v>
      </c>
      <c r="C62" s="7">
        <f t="shared" si="1"/>
        <v>2347.5714285714284</v>
      </c>
    </row>
    <row r="63" spans="1:3" ht="15" customHeight="1" x14ac:dyDescent="0.3">
      <c r="A63" s="6">
        <v>44197</v>
      </c>
      <c r="B63" s="7">
        <v>1916</v>
      </c>
      <c r="C63" s="7">
        <f t="shared" si="1"/>
        <v>2306.1428571428573</v>
      </c>
    </row>
    <row r="64" spans="1:3" ht="15" customHeight="1" x14ac:dyDescent="0.3">
      <c r="A64" s="6">
        <v>44198</v>
      </c>
      <c r="B64" s="7">
        <v>2296</v>
      </c>
      <c r="C64" s="7">
        <f t="shared" si="1"/>
        <v>2318.5714285714284</v>
      </c>
    </row>
    <row r="65" spans="1:3" ht="15" customHeight="1" x14ac:dyDescent="0.3">
      <c r="A65" s="6">
        <v>44199</v>
      </c>
      <c r="B65" s="7">
        <v>2254</v>
      </c>
      <c r="C65" s="7">
        <f t="shared" si="1"/>
        <v>2329.2857142857142</v>
      </c>
    </row>
    <row r="66" spans="1:3" ht="15" customHeight="1" x14ac:dyDescent="0.3">
      <c r="A66" s="6">
        <v>44200</v>
      </c>
      <c r="B66" s="7">
        <v>2620</v>
      </c>
      <c r="C66" s="7">
        <f t="shared" si="1"/>
        <v>2335.4285714285716</v>
      </c>
    </row>
    <row r="67" spans="1:3" ht="15" customHeight="1" x14ac:dyDescent="0.3">
      <c r="A67" s="6">
        <v>44201</v>
      </c>
      <c r="B67" s="7">
        <v>3478</v>
      </c>
      <c r="C67" s="7">
        <f t="shared" si="1"/>
        <v>2454.2857142857142</v>
      </c>
    </row>
    <row r="68" spans="1:3" ht="15" customHeight="1" x14ac:dyDescent="0.3">
      <c r="A68" s="6">
        <v>44202</v>
      </c>
      <c r="B68" s="7">
        <v>4735</v>
      </c>
      <c r="C68" s="7">
        <f t="shared" si="1"/>
        <v>2771.7142857142858</v>
      </c>
    </row>
    <row r="69" spans="1:3" ht="15" customHeight="1" x14ac:dyDescent="0.3">
      <c r="A69" s="6">
        <v>44203</v>
      </c>
      <c r="B69" s="7">
        <v>3493</v>
      </c>
      <c r="C69" s="7">
        <f t="shared" si="1"/>
        <v>2970.2857142857142</v>
      </c>
    </row>
    <row r="70" spans="1:3" ht="15" customHeight="1" x14ac:dyDescent="0.3">
      <c r="A70" s="6">
        <v>44204</v>
      </c>
      <c r="B70" s="7">
        <v>3195</v>
      </c>
      <c r="C70" s="7">
        <f t="shared" si="1"/>
        <v>3153</v>
      </c>
    </row>
    <row r="71" spans="1:3" ht="15" customHeight="1" x14ac:dyDescent="0.3">
      <c r="A71" s="6">
        <v>44205</v>
      </c>
      <c r="B71" s="7">
        <v>2551</v>
      </c>
      <c r="C71" s="7">
        <f t="shared" si="1"/>
        <v>3189.4285714285716</v>
      </c>
    </row>
    <row r="72" spans="1:3" ht="15" customHeight="1" x14ac:dyDescent="0.3">
      <c r="A72" s="6">
        <v>44206</v>
      </c>
      <c r="B72" s="7">
        <v>2392</v>
      </c>
      <c r="C72" s="7">
        <f t="shared" ref="C72:C93" si="2">AVERAGE(B66:B72)</f>
        <v>3209.1428571428573</v>
      </c>
    </row>
    <row r="73" spans="1:3" ht="15" customHeight="1" x14ac:dyDescent="0.3">
      <c r="A73" s="6">
        <v>44207</v>
      </c>
      <c r="B73" s="7">
        <v>2980</v>
      </c>
      <c r="C73" s="7">
        <f t="shared" si="2"/>
        <v>3260.5714285714284</v>
      </c>
    </row>
    <row r="74" spans="1:3" ht="15" customHeight="1" x14ac:dyDescent="0.3">
      <c r="A74" s="6">
        <v>44208</v>
      </c>
      <c r="B74" s="7">
        <v>3489</v>
      </c>
      <c r="C74" s="7">
        <f t="shared" si="2"/>
        <v>3262.1428571428573</v>
      </c>
    </row>
    <row r="75" spans="1:3" ht="15" customHeight="1" x14ac:dyDescent="0.3">
      <c r="A75" s="6">
        <v>44209</v>
      </c>
      <c r="B75" s="7">
        <v>3439</v>
      </c>
      <c r="C75" s="7">
        <f t="shared" si="2"/>
        <v>3077</v>
      </c>
    </row>
    <row r="76" spans="1:3" ht="15" customHeight="1" x14ac:dyDescent="0.3">
      <c r="A76" s="6">
        <v>44210</v>
      </c>
      <c r="B76" s="7">
        <v>3247</v>
      </c>
      <c r="C76" s="7">
        <f t="shared" si="2"/>
        <v>3041.8571428571427</v>
      </c>
    </row>
    <row r="77" spans="1:3" ht="15" customHeight="1" x14ac:dyDescent="0.3">
      <c r="A77" s="6">
        <v>44211</v>
      </c>
      <c r="B77" s="7">
        <v>2971</v>
      </c>
      <c r="C77" s="7">
        <f t="shared" si="2"/>
        <v>3009.8571428571427</v>
      </c>
    </row>
    <row r="78" spans="1:3" ht="15" customHeight="1" x14ac:dyDescent="0.3">
      <c r="A78" s="6">
        <v>44212</v>
      </c>
      <c r="B78" s="7">
        <v>2511</v>
      </c>
      <c r="C78" s="7">
        <f t="shared" si="2"/>
        <v>3004.1428571428573</v>
      </c>
    </row>
    <row r="79" spans="1:3" ht="15" customHeight="1" x14ac:dyDescent="0.3">
      <c r="A79" s="6">
        <v>44213</v>
      </c>
      <c r="B79" s="7">
        <v>2374</v>
      </c>
      <c r="C79" s="7">
        <f t="shared" si="2"/>
        <v>3001.5714285714284</v>
      </c>
    </row>
    <row r="80" spans="1:3" ht="15" customHeight="1" x14ac:dyDescent="0.3">
      <c r="A80" s="6">
        <v>44214</v>
      </c>
      <c r="B80" s="7">
        <v>2735</v>
      </c>
      <c r="C80" s="7">
        <f t="shared" si="2"/>
        <v>2966.5714285714284</v>
      </c>
    </row>
    <row r="81" spans="1:3" ht="15" customHeight="1" x14ac:dyDescent="0.3">
      <c r="A81" s="6">
        <v>44215</v>
      </c>
      <c r="B81" s="7">
        <v>3057</v>
      </c>
      <c r="C81" s="7">
        <f t="shared" si="2"/>
        <v>2904.8571428571427</v>
      </c>
    </row>
    <row r="82" spans="1:3" ht="15" customHeight="1" x14ac:dyDescent="0.3">
      <c r="A82" s="6">
        <v>44216</v>
      </c>
      <c r="B82" s="7">
        <v>3455</v>
      </c>
      <c r="C82" s="7">
        <f t="shared" si="2"/>
        <v>2907.1428571428573</v>
      </c>
    </row>
    <row r="83" spans="1:3" ht="15" customHeight="1" x14ac:dyDescent="0.3">
      <c r="A83" s="6">
        <v>44217</v>
      </c>
      <c r="B83" s="7">
        <v>3398</v>
      </c>
      <c r="C83" s="7">
        <f t="shared" si="2"/>
        <v>2928.7142857142858</v>
      </c>
    </row>
    <row r="84" spans="1:3" ht="15" customHeight="1" x14ac:dyDescent="0.3">
      <c r="A84" s="6">
        <v>44218</v>
      </c>
      <c r="B84" s="7">
        <v>2911</v>
      </c>
      <c r="C84" s="7">
        <f t="shared" si="2"/>
        <v>2920.1428571428573</v>
      </c>
    </row>
    <row r="85" spans="1:3" ht="15" customHeight="1" x14ac:dyDescent="0.3">
      <c r="A85" s="6">
        <v>44219</v>
      </c>
      <c r="B85" s="7">
        <v>2400</v>
      </c>
      <c r="C85" s="7">
        <f t="shared" si="2"/>
        <v>2904.2857142857142</v>
      </c>
    </row>
    <row r="86" spans="1:3" ht="15" customHeight="1" x14ac:dyDescent="0.3">
      <c r="A86" s="6">
        <v>44220</v>
      </c>
      <c r="B86" s="7">
        <v>2277</v>
      </c>
      <c r="C86" s="7">
        <f t="shared" si="2"/>
        <v>2890.4285714285716</v>
      </c>
    </row>
    <row r="87" spans="1:3" ht="15" customHeight="1" x14ac:dyDescent="0.3">
      <c r="A87" s="6">
        <v>44221</v>
      </c>
      <c r="B87" s="7">
        <v>2842</v>
      </c>
      <c r="C87" s="7">
        <f t="shared" si="2"/>
        <v>2905.7142857142858</v>
      </c>
    </row>
    <row r="88" spans="1:3" ht="15" customHeight="1" x14ac:dyDescent="0.3">
      <c r="A88" s="6">
        <v>44222</v>
      </c>
      <c r="B88" s="7">
        <v>2888</v>
      </c>
      <c r="C88" s="7">
        <f t="shared" si="2"/>
        <v>2881.5714285714284</v>
      </c>
    </row>
    <row r="89" spans="1:3" ht="15" customHeight="1" x14ac:dyDescent="0.3">
      <c r="A89" s="6">
        <v>44223</v>
      </c>
      <c r="B89" s="7">
        <v>3045</v>
      </c>
      <c r="C89" s="7">
        <f t="shared" si="2"/>
        <v>2823</v>
      </c>
    </row>
    <row r="90" spans="1:3" ht="15" customHeight="1" x14ac:dyDescent="0.3">
      <c r="A90" s="6">
        <v>44224</v>
      </c>
      <c r="B90" s="7">
        <v>2904</v>
      </c>
      <c r="C90" s="7">
        <f t="shared" si="2"/>
        <v>2752.4285714285716</v>
      </c>
    </row>
    <row r="91" spans="1:3" ht="15" customHeight="1" x14ac:dyDescent="0.3">
      <c r="A91" s="6">
        <v>44225</v>
      </c>
      <c r="B91" s="7">
        <v>2733</v>
      </c>
      <c r="C91" s="7">
        <f t="shared" si="2"/>
        <v>2727</v>
      </c>
    </row>
    <row r="92" spans="1:3" ht="15" customHeight="1" x14ac:dyDescent="0.3">
      <c r="A92" s="6">
        <v>44226</v>
      </c>
      <c r="B92" s="7">
        <v>2131</v>
      </c>
      <c r="C92" s="7">
        <f t="shared" si="2"/>
        <v>2688.5714285714284</v>
      </c>
    </row>
    <row r="93" spans="1:3" ht="15" customHeight="1" x14ac:dyDescent="0.3">
      <c r="A93" s="6">
        <v>44227</v>
      </c>
      <c r="B93" s="7">
        <v>2126</v>
      </c>
      <c r="C93" s="7">
        <f t="shared" si="2"/>
        <v>2667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>
      <selection activeCell="D3" sqref="D3"/>
    </sheetView>
  </sheetViews>
  <sheetFormatPr defaultColWidth="8.6640625" defaultRowHeight="14.4" x14ac:dyDescent="0.3"/>
  <cols>
    <col min="1" max="1" width="26" customWidth="1"/>
    <col min="2" max="3" width="12" customWidth="1"/>
    <col min="4" max="4" width="16" customWidth="1"/>
  </cols>
  <sheetData>
    <row r="1" spans="1:4" s="17" customFormat="1" ht="15" customHeight="1" x14ac:dyDescent="0.3">
      <c r="A1" s="16" t="s">
        <v>29</v>
      </c>
      <c r="B1" s="16" t="s">
        <v>6</v>
      </c>
      <c r="C1" s="16" t="s">
        <v>5</v>
      </c>
      <c r="D1" s="16" t="s">
        <v>7</v>
      </c>
    </row>
    <row r="2" spans="1:4" ht="15" customHeight="1" x14ac:dyDescent="0.3">
      <c r="A2" s="7" t="s">
        <v>30</v>
      </c>
      <c r="B2" s="7">
        <v>54308</v>
      </c>
      <c r="C2" s="7">
        <v>49392</v>
      </c>
      <c r="D2" s="8">
        <f>C2/B2</f>
        <v>0.90947926640642263</v>
      </c>
    </row>
    <row r="3" spans="1:4" ht="15" customHeight="1" x14ac:dyDescent="0.3">
      <c r="A3" s="7" t="s">
        <v>31</v>
      </c>
      <c r="B3" s="7">
        <v>38747</v>
      </c>
      <c r="C3" s="7">
        <v>35731</v>
      </c>
      <c r="D3" s="8">
        <f>C3/B3</f>
        <v>0.92216171574573513</v>
      </c>
    </row>
    <row r="5" spans="1:4" ht="15" customHeight="1" x14ac:dyDescent="0.3">
      <c r="A5" s="9" t="s">
        <v>32</v>
      </c>
      <c r="B5" s="10">
        <f>(B3-B2)/B2</f>
        <v>-0.28653237092141121</v>
      </c>
    </row>
    <row r="6" spans="1:4" ht="15" customHeight="1" x14ac:dyDescent="0.3">
      <c r="A6" s="9" t="s">
        <v>33</v>
      </c>
      <c r="B6" s="10">
        <f>(C3-C2)/C2</f>
        <v>-0.27658325234855846</v>
      </c>
    </row>
    <row r="7" spans="1:4" ht="15" customHeight="1" x14ac:dyDescent="0.3">
      <c r="A7" s="9" t="s">
        <v>34</v>
      </c>
      <c r="B7" s="11">
        <f>(D3-D2)*100</f>
        <v>1.2682449339312507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zoomScaleNormal="100" workbookViewId="0">
      <selection activeCell="J21" sqref="J21"/>
    </sheetView>
  </sheetViews>
  <sheetFormatPr defaultColWidth="8.6640625" defaultRowHeight="14.4" x14ac:dyDescent="0.3"/>
  <cols>
    <col min="1" max="1" width="30" customWidth="1"/>
    <col min="2" max="2" width="40.5546875" customWidth="1"/>
    <col min="3" max="3" width="33.88671875" customWidth="1"/>
    <col min="4" max="4" width="20.21875" customWidth="1"/>
    <col min="5" max="5" width="19.44140625" customWidth="1"/>
  </cols>
  <sheetData>
    <row r="1" spans="1:5" s="17" customFormat="1" ht="15" customHeight="1" x14ac:dyDescent="0.3">
      <c r="A1" s="16" t="s">
        <v>35</v>
      </c>
      <c r="B1" s="16" t="s">
        <v>36</v>
      </c>
      <c r="C1" s="16" t="s">
        <v>37</v>
      </c>
      <c r="D1" s="16" t="s">
        <v>38</v>
      </c>
      <c r="E1" s="16" t="s">
        <v>39</v>
      </c>
    </row>
    <row r="2" spans="1:5" ht="15" customHeight="1" x14ac:dyDescent="0.3">
      <c r="A2" s="7" t="s">
        <v>40</v>
      </c>
      <c r="B2" s="7">
        <v>20144</v>
      </c>
      <c r="C2" s="7">
        <v>14499</v>
      </c>
      <c r="D2" s="7">
        <f>C2-B2</f>
        <v>-5645</v>
      </c>
      <c r="E2" s="8">
        <f>D2/B2</f>
        <v>-0.28023232724384434</v>
      </c>
    </row>
    <row r="3" spans="1:5" ht="15" customHeight="1" x14ac:dyDescent="0.3">
      <c r="A3" s="19" t="s">
        <v>82</v>
      </c>
      <c r="B3" s="7">
        <v>14993</v>
      </c>
      <c r="C3" s="7">
        <v>10943</v>
      </c>
      <c r="D3" s="7">
        <f>C3-B3</f>
        <v>-4050</v>
      </c>
      <c r="E3" s="8">
        <f>D3/B3</f>
        <v>-0.27012605882745283</v>
      </c>
    </row>
    <row r="4" spans="1:5" ht="15" customHeight="1" x14ac:dyDescent="0.3">
      <c r="A4" s="19" t="s">
        <v>81</v>
      </c>
      <c r="B4" s="7">
        <v>11752</v>
      </c>
      <c r="C4" s="7">
        <v>8524</v>
      </c>
      <c r="D4" s="7">
        <f>C4-B4</f>
        <v>-3228</v>
      </c>
      <c r="E4" s="8">
        <f>D4/B4</f>
        <v>-0.27467665078284548</v>
      </c>
    </row>
    <row r="5" spans="1:5" ht="15" customHeight="1" x14ac:dyDescent="0.3">
      <c r="A5" s="7" t="s">
        <v>43</v>
      </c>
      <c r="B5" s="7">
        <v>2505</v>
      </c>
      <c r="C5" s="7">
        <v>1767</v>
      </c>
      <c r="D5" s="7">
        <f>C5-B5</f>
        <v>-738</v>
      </c>
      <c r="E5" s="8">
        <f>D5/B5</f>
        <v>-0.29461077844311379</v>
      </c>
    </row>
    <row r="6" spans="1:5" ht="15" customHeight="1" x14ac:dyDescent="0.3">
      <c r="A6" s="19" t="s">
        <v>80</v>
      </c>
      <c r="B6" s="7">
        <v>5</v>
      </c>
      <c r="C6" s="7">
        <v>4</v>
      </c>
      <c r="D6" s="7">
        <f>C6-B6</f>
        <v>-1</v>
      </c>
      <c r="E6" s="8">
        <f>D6/B6</f>
        <v>-0.2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5"/>
  <sheetViews>
    <sheetView zoomScaleNormal="100" workbookViewId="0">
      <pane ySplit="1" topLeftCell="A53" activePane="bottomLeft" state="frozen"/>
      <selection pane="bottomLeft" activeCell="M15" sqref="M15"/>
    </sheetView>
  </sheetViews>
  <sheetFormatPr defaultColWidth="8.6640625" defaultRowHeight="14.4" x14ac:dyDescent="0.3"/>
  <cols>
    <col min="1" max="1" width="12" customWidth="1"/>
    <col min="2" max="2" width="28" customWidth="1"/>
    <col min="3" max="3" width="10" customWidth="1"/>
    <col min="4" max="5" width="14" customWidth="1"/>
    <col min="6" max="7" width="12" customWidth="1"/>
    <col min="8" max="9" width="14" customWidth="1"/>
  </cols>
  <sheetData>
    <row r="1" spans="1:9" s="17" customFormat="1" ht="15" customHeight="1" x14ac:dyDescent="0.3">
      <c r="A1" s="16" t="s">
        <v>27</v>
      </c>
      <c r="B1" s="16" t="s">
        <v>35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18</v>
      </c>
      <c r="H1" s="16" t="s">
        <v>20</v>
      </c>
      <c r="I1" s="16" t="s">
        <v>22</v>
      </c>
    </row>
    <row r="2" spans="1:9" ht="15" customHeight="1" x14ac:dyDescent="0.3">
      <c r="A2" s="6">
        <v>44166</v>
      </c>
      <c r="B2" s="7" t="s">
        <v>44</v>
      </c>
      <c r="C2" s="7">
        <v>92</v>
      </c>
      <c r="D2" s="7">
        <v>37</v>
      </c>
      <c r="E2" s="7">
        <v>20</v>
      </c>
      <c r="F2" s="7">
        <v>14</v>
      </c>
      <c r="G2" s="8">
        <f t="shared" ref="G2:G33" si="0">IFERROR(D2/C2,0)</f>
        <v>0.40217391304347827</v>
      </c>
      <c r="H2" s="8">
        <f t="shared" ref="H2:H33" si="1">IFERROR(E2/D2,0)</f>
        <v>0.54054054054054057</v>
      </c>
      <c r="I2" s="8">
        <f t="shared" ref="I2:I33" si="2">IFERROR(F2/E2,0)</f>
        <v>0.7</v>
      </c>
    </row>
    <row r="3" spans="1:9" ht="15" customHeight="1" x14ac:dyDescent="0.3">
      <c r="A3" s="6">
        <v>44167</v>
      </c>
      <c r="B3" s="7" t="s">
        <v>44</v>
      </c>
      <c r="C3" s="7">
        <v>90</v>
      </c>
      <c r="D3" s="7">
        <v>29</v>
      </c>
      <c r="E3" s="7">
        <v>19</v>
      </c>
      <c r="F3" s="7">
        <v>10</v>
      </c>
      <c r="G3" s="8">
        <f t="shared" si="0"/>
        <v>0.32222222222222224</v>
      </c>
      <c r="H3" s="8">
        <f t="shared" si="1"/>
        <v>0.65517241379310343</v>
      </c>
      <c r="I3" s="8">
        <f t="shared" si="2"/>
        <v>0.52631578947368418</v>
      </c>
    </row>
    <row r="4" spans="1:9" ht="15" customHeight="1" x14ac:dyDescent="0.3">
      <c r="A4" s="6">
        <v>44168</v>
      </c>
      <c r="B4" s="7" t="s">
        <v>44</v>
      </c>
      <c r="C4" s="7">
        <v>86</v>
      </c>
      <c r="D4" s="7">
        <v>29</v>
      </c>
      <c r="E4" s="7">
        <v>14</v>
      </c>
      <c r="F4" s="7">
        <v>8</v>
      </c>
      <c r="G4" s="8">
        <f t="shared" si="0"/>
        <v>0.33720930232558138</v>
      </c>
      <c r="H4" s="8">
        <f t="shared" si="1"/>
        <v>0.48275862068965519</v>
      </c>
      <c r="I4" s="8">
        <f t="shared" si="2"/>
        <v>0.5714285714285714</v>
      </c>
    </row>
    <row r="5" spans="1:9" ht="15" customHeight="1" x14ac:dyDescent="0.3">
      <c r="A5" s="6">
        <v>44169</v>
      </c>
      <c r="B5" s="7" t="s">
        <v>44</v>
      </c>
      <c r="C5" s="7">
        <v>98</v>
      </c>
      <c r="D5" s="7">
        <v>37</v>
      </c>
      <c r="E5" s="7">
        <v>14</v>
      </c>
      <c r="F5" s="7">
        <v>8</v>
      </c>
      <c r="G5" s="8">
        <f t="shared" si="0"/>
        <v>0.37755102040816324</v>
      </c>
      <c r="H5" s="8">
        <f t="shared" si="1"/>
        <v>0.3783783783783784</v>
      </c>
      <c r="I5" s="8">
        <f t="shared" si="2"/>
        <v>0.5714285714285714</v>
      </c>
    </row>
    <row r="6" spans="1:9" ht="15" customHeight="1" x14ac:dyDescent="0.3">
      <c r="A6" s="6">
        <v>44170</v>
      </c>
      <c r="B6" s="7" t="s">
        <v>44</v>
      </c>
      <c r="C6" s="7">
        <v>51</v>
      </c>
      <c r="D6" s="7">
        <v>24</v>
      </c>
      <c r="E6" s="7">
        <v>16</v>
      </c>
      <c r="F6" s="7">
        <v>11</v>
      </c>
      <c r="G6" s="8">
        <f t="shared" si="0"/>
        <v>0.47058823529411764</v>
      </c>
      <c r="H6" s="8">
        <f t="shared" si="1"/>
        <v>0.66666666666666663</v>
      </c>
      <c r="I6" s="8">
        <f t="shared" si="2"/>
        <v>0.6875</v>
      </c>
    </row>
    <row r="7" spans="1:9" ht="15" customHeight="1" x14ac:dyDescent="0.3">
      <c r="A7" s="6">
        <v>44171</v>
      </c>
      <c r="B7" s="7" t="s">
        <v>44</v>
      </c>
      <c r="C7" s="7">
        <v>55</v>
      </c>
      <c r="D7" s="7">
        <v>21</v>
      </c>
      <c r="E7" s="7">
        <v>12</v>
      </c>
      <c r="F7" s="7">
        <v>7</v>
      </c>
      <c r="G7" s="8">
        <f t="shared" si="0"/>
        <v>0.38181818181818183</v>
      </c>
      <c r="H7" s="8">
        <f t="shared" si="1"/>
        <v>0.5714285714285714</v>
      </c>
      <c r="I7" s="8">
        <f t="shared" si="2"/>
        <v>0.58333333333333337</v>
      </c>
    </row>
    <row r="8" spans="1:9" ht="15" customHeight="1" x14ac:dyDescent="0.3">
      <c r="A8" s="6">
        <v>44172</v>
      </c>
      <c r="B8" s="7" t="s">
        <v>44</v>
      </c>
      <c r="C8" s="7">
        <v>95</v>
      </c>
      <c r="D8" s="7">
        <v>33</v>
      </c>
      <c r="E8" s="7">
        <v>28</v>
      </c>
      <c r="F8" s="7">
        <v>15</v>
      </c>
      <c r="G8" s="8">
        <f t="shared" si="0"/>
        <v>0.3473684210526316</v>
      </c>
      <c r="H8" s="8">
        <f t="shared" si="1"/>
        <v>0.84848484848484851</v>
      </c>
      <c r="I8" s="8">
        <f t="shared" si="2"/>
        <v>0.5357142857142857</v>
      </c>
    </row>
    <row r="9" spans="1:9" ht="15" customHeight="1" x14ac:dyDescent="0.3">
      <c r="A9" s="6">
        <v>44173</v>
      </c>
      <c r="B9" s="7" t="s">
        <v>44</v>
      </c>
      <c r="C9" s="7">
        <v>119</v>
      </c>
      <c r="D9" s="7">
        <v>46</v>
      </c>
      <c r="E9" s="7">
        <v>28</v>
      </c>
      <c r="F9" s="7">
        <v>13</v>
      </c>
      <c r="G9" s="8">
        <f t="shared" si="0"/>
        <v>0.38655462184873951</v>
      </c>
      <c r="H9" s="8">
        <f t="shared" si="1"/>
        <v>0.60869565217391308</v>
      </c>
      <c r="I9" s="8">
        <f t="shared" si="2"/>
        <v>0.4642857142857143</v>
      </c>
    </row>
    <row r="10" spans="1:9" ht="15" customHeight="1" x14ac:dyDescent="0.3">
      <c r="A10" s="6">
        <v>44174</v>
      </c>
      <c r="B10" s="7" t="s">
        <v>44</v>
      </c>
      <c r="C10" s="7">
        <v>102</v>
      </c>
      <c r="D10" s="7">
        <v>38</v>
      </c>
      <c r="E10" s="7">
        <v>23</v>
      </c>
      <c r="F10" s="7">
        <v>12</v>
      </c>
      <c r="G10" s="8">
        <f t="shared" si="0"/>
        <v>0.37254901960784315</v>
      </c>
      <c r="H10" s="8">
        <f t="shared" si="1"/>
        <v>0.60526315789473684</v>
      </c>
      <c r="I10" s="8">
        <f t="shared" si="2"/>
        <v>0.52173913043478259</v>
      </c>
    </row>
    <row r="11" spans="1:9" ht="15" customHeight="1" x14ac:dyDescent="0.3">
      <c r="A11" s="6">
        <v>44175</v>
      </c>
      <c r="B11" s="7" t="s">
        <v>44</v>
      </c>
      <c r="C11" s="7">
        <v>146</v>
      </c>
      <c r="D11" s="7">
        <v>53</v>
      </c>
      <c r="E11" s="7">
        <v>34</v>
      </c>
      <c r="F11" s="7">
        <v>26</v>
      </c>
      <c r="G11" s="8">
        <f t="shared" si="0"/>
        <v>0.36301369863013699</v>
      </c>
      <c r="H11" s="8">
        <f t="shared" si="1"/>
        <v>0.64150943396226412</v>
      </c>
      <c r="I11" s="8">
        <f t="shared" si="2"/>
        <v>0.76470588235294112</v>
      </c>
    </row>
    <row r="12" spans="1:9" ht="15" customHeight="1" x14ac:dyDescent="0.3">
      <c r="A12" s="6">
        <v>44176</v>
      </c>
      <c r="B12" s="7" t="s">
        <v>44</v>
      </c>
      <c r="C12" s="7">
        <v>98</v>
      </c>
      <c r="D12" s="7">
        <v>45</v>
      </c>
      <c r="E12" s="7">
        <v>29</v>
      </c>
      <c r="F12" s="7">
        <v>18</v>
      </c>
      <c r="G12" s="8">
        <f t="shared" si="0"/>
        <v>0.45918367346938777</v>
      </c>
      <c r="H12" s="8">
        <f t="shared" si="1"/>
        <v>0.64444444444444449</v>
      </c>
      <c r="I12" s="8">
        <f t="shared" si="2"/>
        <v>0.62068965517241381</v>
      </c>
    </row>
    <row r="13" spans="1:9" ht="15" customHeight="1" x14ac:dyDescent="0.3">
      <c r="A13" s="6">
        <v>44177</v>
      </c>
      <c r="B13" s="7" t="s">
        <v>44</v>
      </c>
      <c r="C13" s="7">
        <v>53</v>
      </c>
      <c r="D13" s="7">
        <v>23</v>
      </c>
      <c r="E13" s="7">
        <v>21</v>
      </c>
      <c r="F13" s="7">
        <v>17</v>
      </c>
      <c r="G13" s="8">
        <f t="shared" si="0"/>
        <v>0.43396226415094341</v>
      </c>
      <c r="H13" s="8">
        <f t="shared" si="1"/>
        <v>0.91304347826086951</v>
      </c>
      <c r="I13" s="8">
        <f t="shared" si="2"/>
        <v>0.80952380952380953</v>
      </c>
    </row>
    <row r="14" spans="1:9" ht="15" customHeight="1" x14ac:dyDescent="0.3">
      <c r="A14" s="6">
        <v>44178</v>
      </c>
      <c r="B14" s="7" t="s">
        <v>44</v>
      </c>
      <c r="C14" s="7">
        <v>38</v>
      </c>
      <c r="D14" s="7">
        <v>18</v>
      </c>
      <c r="E14" s="7">
        <v>9</v>
      </c>
      <c r="F14" s="7">
        <v>8</v>
      </c>
      <c r="G14" s="8">
        <f t="shared" si="0"/>
        <v>0.47368421052631576</v>
      </c>
      <c r="H14" s="8">
        <f t="shared" si="1"/>
        <v>0.5</v>
      </c>
      <c r="I14" s="8">
        <f t="shared" si="2"/>
        <v>0.88888888888888884</v>
      </c>
    </row>
    <row r="15" spans="1:9" ht="15" customHeight="1" x14ac:dyDescent="0.3">
      <c r="A15" s="6">
        <v>44179</v>
      </c>
      <c r="B15" s="7" t="s">
        <v>44</v>
      </c>
      <c r="C15" s="7">
        <v>75</v>
      </c>
      <c r="D15" s="7">
        <v>35</v>
      </c>
      <c r="E15" s="7">
        <v>18</v>
      </c>
      <c r="F15" s="7">
        <v>13</v>
      </c>
      <c r="G15" s="8">
        <f t="shared" si="0"/>
        <v>0.46666666666666667</v>
      </c>
      <c r="H15" s="8">
        <f t="shared" si="1"/>
        <v>0.51428571428571423</v>
      </c>
      <c r="I15" s="8">
        <f t="shared" si="2"/>
        <v>0.72222222222222221</v>
      </c>
    </row>
    <row r="16" spans="1:9" ht="15" customHeight="1" x14ac:dyDescent="0.3">
      <c r="A16" s="6">
        <v>44180</v>
      </c>
      <c r="B16" s="7" t="s">
        <v>44</v>
      </c>
      <c r="C16" s="7">
        <v>95</v>
      </c>
      <c r="D16" s="7">
        <v>38</v>
      </c>
      <c r="E16" s="7">
        <v>20</v>
      </c>
      <c r="F16" s="7">
        <v>14</v>
      </c>
      <c r="G16" s="8">
        <f t="shared" si="0"/>
        <v>0.4</v>
      </c>
      <c r="H16" s="8">
        <f t="shared" si="1"/>
        <v>0.52631578947368418</v>
      </c>
      <c r="I16" s="8">
        <f t="shared" si="2"/>
        <v>0.7</v>
      </c>
    </row>
    <row r="17" spans="1:9" ht="15" customHeight="1" x14ac:dyDescent="0.3">
      <c r="A17" s="6">
        <v>44181</v>
      </c>
      <c r="B17" s="7" t="s">
        <v>44</v>
      </c>
      <c r="C17" s="7">
        <v>98</v>
      </c>
      <c r="D17" s="7">
        <v>41</v>
      </c>
      <c r="E17" s="7">
        <v>31</v>
      </c>
      <c r="F17" s="7">
        <v>23</v>
      </c>
      <c r="G17" s="8">
        <f t="shared" si="0"/>
        <v>0.41836734693877553</v>
      </c>
      <c r="H17" s="8">
        <f t="shared" si="1"/>
        <v>0.75609756097560976</v>
      </c>
      <c r="I17" s="8">
        <f t="shared" si="2"/>
        <v>0.74193548387096775</v>
      </c>
    </row>
    <row r="18" spans="1:9" ht="15" customHeight="1" x14ac:dyDescent="0.3">
      <c r="A18" s="6">
        <v>44182</v>
      </c>
      <c r="B18" s="7" t="s">
        <v>44</v>
      </c>
      <c r="C18" s="7">
        <v>110</v>
      </c>
      <c r="D18" s="7">
        <v>39</v>
      </c>
      <c r="E18" s="7">
        <v>21</v>
      </c>
      <c r="F18" s="7">
        <v>15</v>
      </c>
      <c r="G18" s="8">
        <f t="shared" si="0"/>
        <v>0.35454545454545455</v>
      </c>
      <c r="H18" s="8">
        <f t="shared" si="1"/>
        <v>0.53846153846153844</v>
      </c>
      <c r="I18" s="8">
        <f t="shared" si="2"/>
        <v>0.7142857142857143</v>
      </c>
    </row>
    <row r="19" spans="1:9" ht="15" customHeight="1" x14ac:dyDescent="0.3">
      <c r="A19" s="6">
        <v>44183</v>
      </c>
      <c r="B19" s="7" t="s">
        <v>44</v>
      </c>
      <c r="C19" s="7">
        <v>79</v>
      </c>
      <c r="D19" s="7">
        <v>37</v>
      </c>
      <c r="E19" s="7">
        <v>22</v>
      </c>
      <c r="F19" s="7">
        <v>13</v>
      </c>
      <c r="G19" s="8">
        <f t="shared" si="0"/>
        <v>0.46835443037974683</v>
      </c>
      <c r="H19" s="8">
        <f t="shared" si="1"/>
        <v>0.59459459459459463</v>
      </c>
      <c r="I19" s="8">
        <f t="shared" si="2"/>
        <v>0.59090909090909094</v>
      </c>
    </row>
    <row r="20" spans="1:9" ht="15" customHeight="1" x14ac:dyDescent="0.3">
      <c r="A20" s="6">
        <v>44184</v>
      </c>
      <c r="B20" s="7" t="s">
        <v>44</v>
      </c>
      <c r="C20" s="7">
        <v>46</v>
      </c>
      <c r="D20" s="7">
        <v>19</v>
      </c>
      <c r="E20" s="7">
        <v>10</v>
      </c>
      <c r="F20" s="7">
        <v>7</v>
      </c>
      <c r="G20" s="8">
        <f t="shared" si="0"/>
        <v>0.41304347826086957</v>
      </c>
      <c r="H20" s="8">
        <f t="shared" si="1"/>
        <v>0.52631578947368418</v>
      </c>
      <c r="I20" s="8">
        <f t="shared" si="2"/>
        <v>0.7</v>
      </c>
    </row>
    <row r="21" spans="1:9" ht="15" customHeight="1" x14ac:dyDescent="0.3">
      <c r="A21" s="6">
        <v>44185</v>
      </c>
      <c r="B21" s="7" t="s">
        <v>44</v>
      </c>
      <c r="C21" s="7">
        <v>39</v>
      </c>
      <c r="D21" s="7">
        <v>9</v>
      </c>
      <c r="E21" s="7">
        <v>6</v>
      </c>
      <c r="F21" s="7">
        <v>2</v>
      </c>
      <c r="G21" s="8">
        <f t="shared" si="0"/>
        <v>0.23076923076923078</v>
      </c>
      <c r="H21" s="8">
        <f t="shared" si="1"/>
        <v>0.66666666666666663</v>
      </c>
      <c r="I21" s="8">
        <f t="shared" si="2"/>
        <v>0.33333333333333331</v>
      </c>
    </row>
    <row r="22" spans="1:9" ht="15" customHeight="1" x14ac:dyDescent="0.3">
      <c r="A22" s="6">
        <v>44186</v>
      </c>
      <c r="B22" s="7" t="s">
        <v>44</v>
      </c>
      <c r="C22" s="7">
        <v>66</v>
      </c>
      <c r="D22" s="7">
        <v>24</v>
      </c>
      <c r="E22" s="7">
        <v>9</v>
      </c>
      <c r="F22" s="7">
        <v>3</v>
      </c>
      <c r="G22" s="8">
        <f t="shared" si="0"/>
        <v>0.36363636363636365</v>
      </c>
      <c r="H22" s="8">
        <f t="shared" si="1"/>
        <v>0.375</v>
      </c>
      <c r="I22" s="8">
        <f t="shared" si="2"/>
        <v>0.33333333333333331</v>
      </c>
    </row>
    <row r="23" spans="1:9" ht="15" customHeight="1" x14ac:dyDescent="0.3">
      <c r="A23" s="6">
        <v>44187</v>
      </c>
      <c r="B23" s="7" t="s">
        <v>44</v>
      </c>
      <c r="C23" s="7">
        <v>75</v>
      </c>
      <c r="D23" s="7">
        <v>21</v>
      </c>
      <c r="E23" s="7">
        <v>9</v>
      </c>
      <c r="F23" s="7">
        <v>8</v>
      </c>
      <c r="G23" s="8">
        <f t="shared" si="0"/>
        <v>0.28000000000000003</v>
      </c>
      <c r="H23" s="8">
        <f t="shared" si="1"/>
        <v>0.42857142857142855</v>
      </c>
      <c r="I23" s="8">
        <f t="shared" si="2"/>
        <v>0.88888888888888884</v>
      </c>
    </row>
    <row r="24" spans="1:9" ht="15" customHeight="1" x14ac:dyDescent="0.3">
      <c r="A24" s="6">
        <v>44188</v>
      </c>
      <c r="B24" s="7" t="s">
        <v>44</v>
      </c>
      <c r="C24" s="7">
        <v>56</v>
      </c>
      <c r="D24" s="7">
        <v>30</v>
      </c>
      <c r="E24" s="7">
        <v>16</v>
      </c>
      <c r="F24" s="7">
        <v>10</v>
      </c>
      <c r="G24" s="8">
        <f t="shared" si="0"/>
        <v>0.5357142857142857</v>
      </c>
      <c r="H24" s="8">
        <f t="shared" si="1"/>
        <v>0.53333333333333333</v>
      </c>
      <c r="I24" s="8">
        <f t="shared" si="2"/>
        <v>0.625</v>
      </c>
    </row>
    <row r="25" spans="1:9" ht="15" customHeight="1" x14ac:dyDescent="0.3">
      <c r="A25" s="6">
        <v>44189</v>
      </c>
      <c r="B25" s="7" t="s">
        <v>44</v>
      </c>
      <c r="C25" s="7">
        <v>27</v>
      </c>
      <c r="D25" s="7">
        <v>10</v>
      </c>
      <c r="E25" s="7">
        <v>9</v>
      </c>
      <c r="F25" s="7">
        <v>7</v>
      </c>
      <c r="G25" s="8">
        <f t="shared" si="0"/>
        <v>0.37037037037037035</v>
      </c>
      <c r="H25" s="8">
        <f t="shared" si="1"/>
        <v>0.9</v>
      </c>
      <c r="I25" s="8">
        <f t="shared" si="2"/>
        <v>0.77777777777777779</v>
      </c>
    </row>
    <row r="26" spans="1:9" ht="15" customHeight="1" x14ac:dyDescent="0.3">
      <c r="A26" s="6">
        <v>44190</v>
      </c>
      <c r="B26" s="7" t="s">
        <v>44</v>
      </c>
      <c r="C26" s="7">
        <v>24</v>
      </c>
      <c r="D26" s="7">
        <v>16</v>
      </c>
      <c r="E26" s="7">
        <v>8</v>
      </c>
      <c r="F26" s="7">
        <v>3</v>
      </c>
      <c r="G26" s="8">
        <f t="shared" si="0"/>
        <v>0.66666666666666663</v>
      </c>
      <c r="H26" s="8">
        <f t="shared" si="1"/>
        <v>0.5</v>
      </c>
      <c r="I26" s="8">
        <f t="shared" si="2"/>
        <v>0.375</v>
      </c>
    </row>
    <row r="27" spans="1:9" ht="15" customHeight="1" x14ac:dyDescent="0.3">
      <c r="A27" s="6">
        <v>44191</v>
      </c>
      <c r="B27" s="7" t="s">
        <v>44</v>
      </c>
      <c r="C27" s="7">
        <v>21</v>
      </c>
      <c r="D27" s="7">
        <v>5</v>
      </c>
      <c r="E27" s="7">
        <v>3</v>
      </c>
      <c r="F27" s="7">
        <v>2</v>
      </c>
      <c r="G27" s="8">
        <f t="shared" si="0"/>
        <v>0.23809523809523808</v>
      </c>
      <c r="H27" s="8">
        <f t="shared" si="1"/>
        <v>0.6</v>
      </c>
      <c r="I27" s="8">
        <f t="shared" si="2"/>
        <v>0.66666666666666663</v>
      </c>
    </row>
    <row r="28" spans="1:9" ht="15" customHeight="1" x14ac:dyDescent="0.3">
      <c r="A28" s="6">
        <v>44192</v>
      </c>
      <c r="B28" s="7" t="s">
        <v>44</v>
      </c>
      <c r="C28" s="7">
        <v>29</v>
      </c>
      <c r="D28" s="7">
        <v>14</v>
      </c>
      <c r="E28" s="7">
        <v>7</v>
      </c>
      <c r="F28" s="7">
        <v>4</v>
      </c>
      <c r="G28" s="8">
        <f t="shared" si="0"/>
        <v>0.48275862068965519</v>
      </c>
      <c r="H28" s="8">
        <f t="shared" si="1"/>
        <v>0.5</v>
      </c>
      <c r="I28" s="8">
        <f t="shared" si="2"/>
        <v>0.5714285714285714</v>
      </c>
    </row>
    <row r="29" spans="1:9" ht="15" customHeight="1" x14ac:dyDescent="0.3">
      <c r="A29" s="6">
        <v>44193</v>
      </c>
      <c r="B29" s="7" t="s">
        <v>44</v>
      </c>
      <c r="C29" s="7">
        <v>37</v>
      </c>
      <c r="D29" s="7">
        <v>13</v>
      </c>
      <c r="E29" s="7">
        <v>6</v>
      </c>
      <c r="F29" s="7">
        <v>6</v>
      </c>
      <c r="G29" s="8">
        <f t="shared" si="0"/>
        <v>0.35135135135135137</v>
      </c>
      <c r="H29" s="8">
        <f t="shared" si="1"/>
        <v>0.46153846153846156</v>
      </c>
      <c r="I29" s="8">
        <f t="shared" si="2"/>
        <v>1</v>
      </c>
    </row>
    <row r="30" spans="1:9" ht="15" customHeight="1" x14ac:dyDescent="0.3">
      <c r="A30" s="6">
        <v>44194</v>
      </c>
      <c r="B30" s="7" t="s">
        <v>44</v>
      </c>
      <c r="C30" s="7">
        <v>41</v>
      </c>
      <c r="D30" s="7">
        <v>11</v>
      </c>
      <c r="E30" s="7">
        <v>5</v>
      </c>
      <c r="F30" s="7">
        <v>2</v>
      </c>
      <c r="G30" s="8">
        <f t="shared" si="0"/>
        <v>0.26829268292682928</v>
      </c>
      <c r="H30" s="8">
        <f t="shared" si="1"/>
        <v>0.45454545454545453</v>
      </c>
      <c r="I30" s="8">
        <f t="shared" si="2"/>
        <v>0.4</v>
      </c>
    </row>
    <row r="31" spans="1:9" ht="15" customHeight="1" x14ac:dyDescent="0.3">
      <c r="A31" s="6">
        <v>44195</v>
      </c>
      <c r="B31" s="7" t="s">
        <v>44</v>
      </c>
      <c r="C31" s="7">
        <v>39</v>
      </c>
      <c r="D31" s="7">
        <v>15</v>
      </c>
      <c r="E31" s="7">
        <v>6</v>
      </c>
      <c r="F31" s="7">
        <v>5</v>
      </c>
      <c r="G31" s="8">
        <f t="shared" si="0"/>
        <v>0.38461538461538464</v>
      </c>
      <c r="H31" s="8">
        <f t="shared" si="1"/>
        <v>0.4</v>
      </c>
      <c r="I31" s="8">
        <f t="shared" si="2"/>
        <v>0.83333333333333337</v>
      </c>
    </row>
    <row r="32" spans="1:9" ht="15" customHeight="1" x14ac:dyDescent="0.3">
      <c r="A32" s="6">
        <v>44196</v>
      </c>
      <c r="B32" s="7" t="s">
        <v>44</v>
      </c>
      <c r="C32" s="7">
        <v>25</v>
      </c>
      <c r="D32" s="7">
        <v>10</v>
      </c>
      <c r="E32" s="7">
        <v>7</v>
      </c>
      <c r="F32" s="7">
        <v>4</v>
      </c>
      <c r="G32" s="8">
        <f t="shared" si="0"/>
        <v>0.4</v>
      </c>
      <c r="H32" s="8">
        <f t="shared" si="1"/>
        <v>0.7</v>
      </c>
      <c r="I32" s="8">
        <f t="shared" si="2"/>
        <v>0.5714285714285714</v>
      </c>
    </row>
    <row r="33" spans="1:9" ht="15" customHeight="1" x14ac:dyDescent="0.3">
      <c r="A33" s="6">
        <v>44166</v>
      </c>
      <c r="B33" s="7" t="s">
        <v>42</v>
      </c>
      <c r="C33" s="7">
        <v>296</v>
      </c>
      <c r="D33" s="7">
        <v>106</v>
      </c>
      <c r="E33" s="7">
        <v>55</v>
      </c>
      <c r="F33" s="7">
        <v>22</v>
      </c>
      <c r="G33" s="8">
        <f t="shared" si="0"/>
        <v>0.35810810810810811</v>
      </c>
      <c r="H33" s="8">
        <f t="shared" si="1"/>
        <v>0.51886792452830188</v>
      </c>
      <c r="I33" s="8">
        <f t="shared" si="2"/>
        <v>0.4</v>
      </c>
    </row>
    <row r="34" spans="1:9" ht="15" customHeight="1" x14ac:dyDescent="0.3">
      <c r="A34" s="6">
        <v>44167</v>
      </c>
      <c r="B34" s="7" t="s">
        <v>42</v>
      </c>
      <c r="C34" s="7">
        <v>279</v>
      </c>
      <c r="D34" s="7">
        <v>87</v>
      </c>
      <c r="E34" s="7">
        <v>44</v>
      </c>
      <c r="F34" s="7">
        <v>13</v>
      </c>
      <c r="G34" s="8">
        <f t="shared" ref="G34:G65" si="3">IFERROR(D34/C34,0)</f>
        <v>0.31182795698924731</v>
      </c>
      <c r="H34" s="8">
        <f t="shared" ref="H34:H65" si="4">IFERROR(E34/D34,0)</f>
        <v>0.50574712643678166</v>
      </c>
      <c r="I34" s="8">
        <f t="shared" ref="I34:I65" si="5">IFERROR(F34/E34,0)</f>
        <v>0.29545454545454547</v>
      </c>
    </row>
    <row r="35" spans="1:9" ht="15" customHeight="1" x14ac:dyDescent="0.3">
      <c r="A35" s="6">
        <v>44168</v>
      </c>
      <c r="B35" s="7" t="s">
        <v>42</v>
      </c>
      <c r="C35" s="7">
        <v>295</v>
      </c>
      <c r="D35" s="7">
        <v>93</v>
      </c>
      <c r="E35" s="7">
        <v>50</v>
      </c>
      <c r="F35" s="7">
        <v>20</v>
      </c>
      <c r="G35" s="8">
        <f t="shared" si="3"/>
        <v>0.31525423728813562</v>
      </c>
      <c r="H35" s="8">
        <f t="shared" si="4"/>
        <v>0.5376344086021505</v>
      </c>
      <c r="I35" s="8">
        <f t="shared" si="5"/>
        <v>0.4</v>
      </c>
    </row>
    <row r="36" spans="1:9" ht="15" customHeight="1" x14ac:dyDescent="0.3">
      <c r="A36" s="6">
        <v>44169</v>
      </c>
      <c r="B36" s="7" t="s">
        <v>42</v>
      </c>
      <c r="C36" s="7">
        <v>269</v>
      </c>
      <c r="D36" s="7">
        <v>69</v>
      </c>
      <c r="E36" s="7">
        <v>40</v>
      </c>
      <c r="F36" s="7">
        <v>13</v>
      </c>
      <c r="G36" s="8">
        <f t="shared" si="3"/>
        <v>0.25650557620817843</v>
      </c>
      <c r="H36" s="8">
        <f t="shared" si="4"/>
        <v>0.57971014492753625</v>
      </c>
      <c r="I36" s="8">
        <f t="shared" si="5"/>
        <v>0.32500000000000001</v>
      </c>
    </row>
    <row r="37" spans="1:9" ht="15" customHeight="1" x14ac:dyDescent="0.3">
      <c r="A37" s="6">
        <v>44170</v>
      </c>
      <c r="B37" s="7" t="s">
        <v>42</v>
      </c>
      <c r="C37" s="7">
        <v>187</v>
      </c>
      <c r="D37" s="7">
        <v>67</v>
      </c>
      <c r="E37" s="7">
        <v>43</v>
      </c>
      <c r="F37" s="7">
        <v>18</v>
      </c>
      <c r="G37" s="8">
        <f t="shared" si="3"/>
        <v>0.35828877005347592</v>
      </c>
      <c r="H37" s="8">
        <f t="shared" si="4"/>
        <v>0.64179104477611937</v>
      </c>
      <c r="I37" s="8">
        <f t="shared" si="5"/>
        <v>0.41860465116279072</v>
      </c>
    </row>
    <row r="38" spans="1:9" ht="15" customHeight="1" x14ac:dyDescent="0.3">
      <c r="A38" s="6">
        <v>44171</v>
      </c>
      <c r="B38" s="7" t="s">
        <v>42</v>
      </c>
      <c r="C38" s="7">
        <v>170</v>
      </c>
      <c r="D38" s="7">
        <v>54</v>
      </c>
      <c r="E38" s="7">
        <v>31</v>
      </c>
      <c r="F38" s="7">
        <v>8</v>
      </c>
      <c r="G38" s="8">
        <f t="shared" si="3"/>
        <v>0.31764705882352939</v>
      </c>
      <c r="H38" s="8">
        <f t="shared" si="4"/>
        <v>0.57407407407407407</v>
      </c>
      <c r="I38" s="8">
        <f t="shared" si="5"/>
        <v>0.25806451612903225</v>
      </c>
    </row>
    <row r="39" spans="1:9" ht="15" customHeight="1" x14ac:dyDescent="0.3">
      <c r="A39" s="6">
        <v>44172</v>
      </c>
      <c r="B39" s="7" t="s">
        <v>42</v>
      </c>
      <c r="C39" s="7">
        <v>278</v>
      </c>
      <c r="D39" s="7">
        <v>102</v>
      </c>
      <c r="E39" s="7">
        <v>53</v>
      </c>
      <c r="F39" s="7">
        <v>18</v>
      </c>
      <c r="G39" s="8">
        <f t="shared" si="3"/>
        <v>0.36690647482014388</v>
      </c>
      <c r="H39" s="8">
        <f t="shared" si="4"/>
        <v>0.51960784313725494</v>
      </c>
      <c r="I39" s="8">
        <f t="shared" si="5"/>
        <v>0.33962264150943394</v>
      </c>
    </row>
    <row r="40" spans="1:9" ht="15" customHeight="1" x14ac:dyDescent="0.3">
      <c r="A40" s="6">
        <v>44173</v>
      </c>
      <c r="B40" s="7" t="s">
        <v>42</v>
      </c>
      <c r="C40" s="7">
        <v>352</v>
      </c>
      <c r="D40" s="7">
        <v>122</v>
      </c>
      <c r="E40" s="7">
        <v>75</v>
      </c>
      <c r="F40" s="7">
        <v>29</v>
      </c>
      <c r="G40" s="8">
        <f t="shared" si="3"/>
        <v>0.34659090909090912</v>
      </c>
      <c r="H40" s="8">
        <f t="shared" si="4"/>
        <v>0.61475409836065575</v>
      </c>
      <c r="I40" s="8">
        <f t="shared" si="5"/>
        <v>0.38666666666666666</v>
      </c>
    </row>
    <row r="41" spans="1:9" ht="15" customHeight="1" x14ac:dyDescent="0.3">
      <c r="A41" s="6">
        <v>44174</v>
      </c>
      <c r="B41" s="7" t="s">
        <v>42</v>
      </c>
      <c r="C41" s="7">
        <v>286</v>
      </c>
      <c r="D41" s="7">
        <v>100</v>
      </c>
      <c r="E41" s="7">
        <v>53</v>
      </c>
      <c r="F41" s="7">
        <v>29</v>
      </c>
      <c r="G41" s="8">
        <f t="shared" si="3"/>
        <v>0.34965034965034963</v>
      </c>
      <c r="H41" s="8">
        <f t="shared" si="4"/>
        <v>0.53</v>
      </c>
      <c r="I41" s="8">
        <f t="shared" si="5"/>
        <v>0.54716981132075471</v>
      </c>
    </row>
    <row r="42" spans="1:9" ht="15" customHeight="1" x14ac:dyDescent="0.3">
      <c r="A42" s="6">
        <v>44175</v>
      </c>
      <c r="B42" s="7" t="s">
        <v>42</v>
      </c>
      <c r="C42" s="7">
        <v>287</v>
      </c>
      <c r="D42" s="7">
        <v>96</v>
      </c>
      <c r="E42" s="7">
        <v>59</v>
      </c>
      <c r="F42" s="7">
        <v>27</v>
      </c>
      <c r="G42" s="8">
        <f t="shared" si="3"/>
        <v>0.33449477351916379</v>
      </c>
      <c r="H42" s="8">
        <f t="shared" si="4"/>
        <v>0.61458333333333337</v>
      </c>
      <c r="I42" s="8">
        <f t="shared" si="5"/>
        <v>0.4576271186440678</v>
      </c>
    </row>
    <row r="43" spans="1:9" ht="15" customHeight="1" x14ac:dyDescent="0.3">
      <c r="A43" s="6">
        <v>44176</v>
      </c>
      <c r="B43" s="7" t="s">
        <v>42</v>
      </c>
      <c r="C43" s="7">
        <v>295</v>
      </c>
      <c r="D43" s="7">
        <v>115</v>
      </c>
      <c r="E43" s="7">
        <v>61</v>
      </c>
      <c r="F43" s="7">
        <v>33</v>
      </c>
      <c r="G43" s="8">
        <f t="shared" si="3"/>
        <v>0.38983050847457629</v>
      </c>
      <c r="H43" s="8">
        <f t="shared" si="4"/>
        <v>0.5304347826086957</v>
      </c>
      <c r="I43" s="8">
        <f t="shared" si="5"/>
        <v>0.54098360655737709</v>
      </c>
    </row>
    <row r="44" spans="1:9" ht="15" customHeight="1" x14ac:dyDescent="0.3">
      <c r="A44" s="6">
        <v>44177</v>
      </c>
      <c r="B44" s="7" t="s">
        <v>42</v>
      </c>
      <c r="C44" s="7">
        <v>227</v>
      </c>
      <c r="D44" s="7">
        <v>90</v>
      </c>
      <c r="E44" s="7">
        <v>53</v>
      </c>
      <c r="F44" s="7">
        <v>26</v>
      </c>
      <c r="G44" s="8">
        <f t="shared" si="3"/>
        <v>0.3964757709251101</v>
      </c>
      <c r="H44" s="8">
        <f t="shared" si="4"/>
        <v>0.58888888888888891</v>
      </c>
      <c r="I44" s="8">
        <f t="shared" si="5"/>
        <v>0.49056603773584906</v>
      </c>
    </row>
    <row r="45" spans="1:9" ht="15" customHeight="1" x14ac:dyDescent="0.3">
      <c r="A45" s="6">
        <v>44178</v>
      </c>
      <c r="B45" s="7" t="s">
        <v>42</v>
      </c>
      <c r="C45" s="7">
        <v>167</v>
      </c>
      <c r="D45" s="7">
        <v>57</v>
      </c>
      <c r="E45" s="7">
        <v>23</v>
      </c>
      <c r="F45" s="7">
        <v>11</v>
      </c>
      <c r="G45" s="8">
        <f t="shared" si="3"/>
        <v>0.3413173652694611</v>
      </c>
      <c r="H45" s="8">
        <f t="shared" si="4"/>
        <v>0.40350877192982454</v>
      </c>
      <c r="I45" s="8">
        <f t="shared" si="5"/>
        <v>0.47826086956521741</v>
      </c>
    </row>
    <row r="46" spans="1:9" ht="15" customHeight="1" x14ac:dyDescent="0.3">
      <c r="A46" s="6">
        <v>44179</v>
      </c>
      <c r="B46" s="7" t="s">
        <v>42</v>
      </c>
      <c r="C46" s="7">
        <v>254</v>
      </c>
      <c r="D46" s="7">
        <v>82</v>
      </c>
      <c r="E46" s="7">
        <v>45</v>
      </c>
      <c r="F46" s="7">
        <v>15</v>
      </c>
      <c r="G46" s="8">
        <f t="shared" si="3"/>
        <v>0.32283464566929132</v>
      </c>
      <c r="H46" s="8">
        <f t="shared" si="4"/>
        <v>0.54878048780487809</v>
      </c>
      <c r="I46" s="8">
        <f t="shared" si="5"/>
        <v>0.33333333333333331</v>
      </c>
    </row>
    <row r="47" spans="1:9" ht="15" customHeight="1" x14ac:dyDescent="0.3">
      <c r="A47" s="6">
        <v>44180</v>
      </c>
      <c r="B47" s="7" t="s">
        <v>42</v>
      </c>
      <c r="C47" s="7">
        <v>280</v>
      </c>
      <c r="D47" s="7">
        <v>90</v>
      </c>
      <c r="E47" s="7">
        <v>43</v>
      </c>
      <c r="F47" s="7">
        <v>27</v>
      </c>
      <c r="G47" s="8">
        <f t="shared" si="3"/>
        <v>0.32142857142857145</v>
      </c>
      <c r="H47" s="8">
        <f t="shared" si="4"/>
        <v>0.4777777777777778</v>
      </c>
      <c r="I47" s="8">
        <f t="shared" si="5"/>
        <v>0.62790697674418605</v>
      </c>
    </row>
    <row r="48" spans="1:9" ht="15" customHeight="1" x14ac:dyDescent="0.3">
      <c r="A48" s="6">
        <v>44181</v>
      </c>
      <c r="B48" s="7" t="s">
        <v>42</v>
      </c>
      <c r="C48" s="7">
        <v>260</v>
      </c>
      <c r="D48" s="7">
        <v>86</v>
      </c>
      <c r="E48" s="7">
        <v>44</v>
      </c>
      <c r="F48" s="7">
        <v>33</v>
      </c>
      <c r="G48" s="8">
        <f t="shared" si="3"/>
        <v>0.33076923076923076</v>
      </c>
      <c r="H48" s="8">
        <f t="shared" si="4"/>
        <v>0.51162790697674421</v>
      </c>
      <c r="I48" s="8">
        <f t="shared" si="5"/>
        <v>0.75</v>
      </c>
    </row>
    <row r="49" spans="1:9" ht="15" customHeight="1" x14ac:dyDescent="0.3">
      <c r="A49" s="6">
        <v>44182</v>
      </c>
      <c r="B49" s="7" t="s">
        <v>42</v>
      </c>
      <c r="C49" s="7">
        <v>277</v>
      </c>
      <c r="D49" s="7">
        <v>78</v>
      </c>
      <c r="E49" s="7">
        <v>33</v>
      </c>
      <c r="F49" s="7">
        <v>20</v>
      </c>
      <c r="G49" s="8">
        <f t="shared" si="3"/>
        <v>0.28158844765342961</v>
      </c>
      <c r="H49" s="8">
        <f t="shared" si="4"/>
        <v>0.42307692307692307</v>
      </c>
      <c r="I49" s="8">
        <f t="shared" si="5"/>
        <v>0.60606060606060608</v>
      </c>
    </row>
    <row r="50" spans="1:9" ht="15" customHeight="1" x14ac:dyDescent="0.3">
      <c r="A50" s="6">
        <v>44183</v>
      </c>
      <c r="B50" s="7" t="s">
        <v>42</v>
      </c>
      <c r="C50" s="7">
        <v>235</v>
      </c>
      <c r="D50" s="7">
        <v>72</v>
      </c>
      <c r="E50" s="7">
        <v>32</v>
      </c>
      <c r="F50" s="7">
        <v>21</v>
      </c>
      <c r="G50" s="8">
        <f t="shared" si="3"/>
        <v>0.30638297872340425</v>
      </c>
      <c r="H50" s="8">
        <f t="shared" si="4"/>
        <v>0.44444444444444442</v>
      </c>
      <c r="I50" s="8">
        <f t="shared" si="5"/>
        <v>0.65625</v>
      </c>
    </row>
    <row r="51" spans="1:9" ht="15" customHeight="1" x14ac:dyDescent="0.3">
      <c r="A51" s="6">
        <v>44184</v>
      </c>
      <c r="B51" s="7" t="s">
        <v>42</v>
      </c>
      <c r="C51" s="7">
        <v>184</v>
      </c>
      <c r="D51" s="7">
        <v>47</v>
      </c>
      <c r="E51" s="7">
        <v>26</v>
      </c>
      <c r="F51" s="7">
        <v>12</v>
      </c>
      <c r="G51" s="8">
        <f t="shared" si="3"/>
        <v>0.25543478260869568</v>
      </c>
      <c r="H51" s="8">
        <f t="shared" si="4"/>
        <v>0.55319148936170215</v>
      </c>
      <c r="I51" s="8">
        <f t="shared" si="5"/>
        <v>0.46153846153846156</v>
      </c>
    </row>
    <row r="52" spans="1:9" ht="15" customHeight="1" x14ac:dyDescent="0.3">
      <c r="A52" s="6">
        <v>44185</v>
      </c>
      <c r="B52" s="7" t="s">
        <v>42</v>
      </c>
      <c r="C52" s="7">
        <v>128</v>
      </c>
      <c r="D52" s="7">
        <v>27</v>
      </c>
      <c r="E52" s="7">
        <v>8</v>
      </c>
      <c r="F52" s="7">
        <v>2</v>
      </c>
      <c r="G52" s="8">
        <f t="shared" si="3"/>
        <v>0.2109375</v>
      </c>
      <c r="H52" s="8">
        <f t="shared" si="4"/>
        <v>0.29629629629629628</v>
      </c>
      <c r="I52" s="8">
        <f t="shared" si="5"/>
        <v>0.25</v>
      </c>
    </row>
    <row r="53" spans="1:9" ht="15" customHeight="1" x14ac:dyDescent="0.3">
      <c r="A53" s="6">
        <v>44186</v>
      </c>
      <c r="B53" s="7" t="s">
        <v>42</v>
      </c>
      <c r="C53" s="7">
        <v>194</v>
      </c>
      <c r="D53" s="7">
        <v>49</v>
      </c>
      <c r="E53" s="7">
        <v>29</v>
      </c>
      <c r="F53" s="7">
        <v>18</v>
      </c>
      <c r="G53" s="8">
        <f t="shared" si="3"/>
        <v>0.25257731958762886</v>
      </c>
      <c r="H53" s="8">
        <f t="shared" si="4"/>
        <v>0.59183673469387754</v>
      </c>
      <c r="I53" s="8">
        <f t="shared" si="5"/>
        <v>0.62068965517241381</v>
      </c>
    </row>
    <row r="54" spans="1:9" ht="15" customHeight="1" x14ac:dyDescent="0.3">
      <c r="A54" s="6">
        <v>44187</v>
      </c>
      <c r="B54" s="7" t="s">
        <v>42</v>
      </c>
      <c r="C54" s="7">
        <v>178</v>
      </c>
      <c r="D54" s="7">
        <v>48</v>
      </c>
      <c r="E54" s="7">
        <v>24</v>
      </c>
      <c r="F54" s="7">
        <v>13</v>
      </c>
      <c r="G54" s="8">
        <f t="shared" si="3"/>
        <v>0.2696629213483146</v>
      </c>
      <c r="H54" s="8">
        <f t="shared" si="4"/>
        <v>0.5</v>
      </c>
      <c r="I54" s="8">
        <f t="shared" si="5"/>
        <v>0.54166666666666663</v>
      </c>
    </row>
    <row r="55" spans="1:9" ht="15" customHeight="1" x14ac:dyDescent="0.3">
      <c r="A55" s="6">
        <v>44188</v>
      </c>
      <c r="B55" s="7" t="s">
        <v>42</v>
      </c>
      <c r="C55" s="7">
        <v>173</v>
      </c>
      <c r="D55" s="7">
        <v>47</v>
      </c>
      <c r="E55" s="7">
        <v>19</v>
      </c>
      <c r="F55" s="7">
        <v>10</v>
      </c>
      <c r="G55" s="8">
        <f t="shared" si="3"/>
        <v>0.27167630057803466</v>
      </c>
      <c r="H55" s="8">
        <f t="shared" si="4"/>
        <v>0.40425531914893614</v>
      </c>
      <c r="I55" s="8">
        <f t="shared" si="5"/>
        <v>0.52631578947368418</v>
      </c>
    </row>
    <row r="56" spans="1:9" ht="15" customHeight="1" x14ac:dyDescent="0.3">
      <c r="A56" s="6">
        <v>44189</v>
      </c>
      <c r="B56" s="7" t="s">
        <v>42</v>
      </c>
      <c r="C56" s="7">
        <v>114</v>
      </c>
      <c r="D56" s="7">
        <v>21</v>
      </c>
      <c r="E56" s="7">
        <v>8</v>
      </c>
      <c r="F56" s="7">
        <v>3</v>
      </c>
      <c r="G56" s="8">
        <f t="shared" si="3"/>
        <v>0.18421052631578946</v>
      </c>
      <c r="H56" s="8">
        <f t="shared" si="4"/>
        <v>0.38095238095238093</v>
      </c>
      <c r="I56" s="8">
        <f t="shared" si="5"/>
        <v>0.375</v>
      </c>
    </row>
    <row r="57" spans="1:9" ht="15" customHeight="1" x14ac:dyDescent="0.3">
      <c r="A57" s="6">
        <v>44190</v>
      </c>
      <c r="B57" s="7" t="s">
        <v>42</v>
      </c>
      <c r="C57" s="7">
        <v>77</v>
      </c>
      <c r="D57" s="7">
        <v>12</v>
      </c>
      <c r="E57" s="7">
        <v>7</v>
      </c>
      <c r="F57" s="7">
        <v>4</v>
      </c>
      <c r="G57" s="8">
        <f t="shared" si="3"/>
        <v>0.15584415584415584</v>
      </c>
      <c r="H57" s="8">
        <f t="shared" si="4"/>
        <v>0.58333333333333337</v>
      </c>
      <c r="I57" s="8">
        <f t="shared" si="5"/>
        <v>0.5714285714285714</v>
      </c>
    </row>
    <row r="58" spans="1:9" ht="15" customHeight="1" x14ac:dyDescent="0.3">
      <c r="A58" s="6">
        <v>44191</v>
      </c>
      <c r="B58" s="7" t="s">
        <v>42</v>
      </c>
      <c r="C58" s="7">
        <v>103</v>
      </c>
      <c r="D58" s="7">
        <v>18</v>
      </c>
      <c r="E58" s="7">
        <v>4</v>
      </c>
      <c r="F58" s="7">
        <v>3</v>
      </c>
      <c r="G58" s="8">
        <f t="shared" si="3"/>
        <v>0.17475728155339806</v>
      </c>
      <c r="H58" s="8">
        <f t="shared" si="4"/>
        <v>0.22222222222222221</v>
      </c>
      <c r="I58" s="8">
        <f t="shared" si="5"/>
        <v>0.75</v>
      </c>
    </row>
    <row r="59" spans="1:9" ht="15" customHeight="1" x14ac:dyDescent="0.3">
      <c r="A59" s="6">
        <v>44192</v>
      </c>
      <c r="B59" s="7" t="s">
        <v>42</v>
      </c>
      <c r="C59" s="7">
        <v>95</v>
      </c>
      <c r="D59" s="7">
        <v>24</v>
      </c>
      <c r="E59" s="7">
        <v>9</v>
      </c>
      <c r="F59" s="7">
        <v>4</v>
      </c>
      <c r="G59" s="8">
        <f t="shared" si="3"/>
        <v>0.25263157894736843</v>
      </c>
      <c r="H59" s="8">
        <f t="shared" si="4"/>
        <v>0.375</v>
      </c>
      <c r="I59" s="8">
        <f t="shared" si="5"/>
        <v>0.44444444444444442</v>
      </c>
    </row>
    <row r="60" spans="1:9" ht="15" customHeight="1" x14ac:dyDescent="0.3">
      <c r="A60" s="6">
        <v>44193</v>
      </c>
      <c r="B60" s="7" t="s">
        <v>42</v>
      </c>
      <c r="C60" s="7">
        <v>116</v>
      </c>
      <c r="D60" s="7">
        <v>35</v>
      </c>
      <c r="E60" s="7">
        <v>17</v>
      </c>
      <c r="F60" s="7">
        <v>9</v>
      </c>
      <c r="G60" s="8">
        <f t="shared" si="3"/>
        <v>0.30172413793103448</v>
      </c>
      <c r="H60" s="8">
        <f t="shared" si="4"/>
        <v>0.48571428571428571</v>
      </c>
      <c r="I60" s="8">
        <f t="shared" si="5"/>
        <v>0.52941176470588236</v>
      </c>
    </row>
    <row r="61" spans="1:9" ht="15" customHeight="1" x14ac:dyDescent="0.3">
      <c r="A61" s="6">
        <v>44194</v>
      </c>
      <c r="B61" s="7" t="s">
        <v>42</v>
      </c>
      <c r="C61" s="7">
        <v>123</v>
      </c>
      <c r="D61" s="7">
        <v>28</v>
      </c>
      <c r="E61" s="7">
        <v>12</v>
      </c>
      <c r="F61" s="7">
        <v>6</v>
      </c>
      <c r="G61" s="8">
        <f t="shared" si="3"/>
        <v>0.22764227642276422</v>
      </c>
      <c r="H61" s="8">
        <f t="shared" si="4"/>
        <v>0.42857142857142855</v>
      </c>
      <c r="I61" s="8">
        <f t="shared" si="5"/>
        <v>0.5</v>
      </c>
    </row>
    <row r="62" spans="1:9" ht="15" customHeight="1" x14ac:dyDescent="0.3">
      <c r="A62" s="6">
        <v>44195</v>
      </c>
      <c r="B62" s="7" t="s">
        <v>42</v>
      </c>
      <c r="C62" s="7">
        <v>106</v>
      </c>
      <c r="D62" s="7">
        <v>23</v>
      </c>
      <c r="E62" s="7">
        <v>6</v>
      </c>
      <c r="F62" s="7">
        <v>3</v>
      </c>
      <c r="G62" s="8">
        <f t="shared" si="3"/>
        <v>0.21698113207547171</v>
      </c>
      <c r="H62" s="8">
        <f t="shared" si="4"/>
        <v>0.2608695652173913</v>
      </c>
      <c r="I62" s="8">
        <f t="shared" si="5"/>
        <v>0.5</v>
      </c>
    </row>
    <row r="63" spans="1:9" ht="15" customHeight="1" x14ac:dyDescent="0.3">
      <c r="A63" s="6">
        <v>44196</v>
      </c>
      <c r="B63" s="7" t="s">
        <v>42</v>
      </c>
      <c r="C63" s="7">
        <v>91</v>
      </c>
      <c r="D63" s="7">
        <v>17</v>
      </c>
      <c r="E63" s="7">
        <v>4</v>
      </c>
      <c r="F63" s="7">
        <v>2</v>
      </c>
      <c r="G63" s="8">
        <f t="shared" si="3"/>
        <v>0.18681318681318682</v>
      </c>
      <c r="H63" s="8">
        <f t="shared" si="4"/>
        <v>0.23529411764705882</v>
      </c>
      <c r="I63" s="8">
        <f t="shared" si="5"/>
        <v>0.5</v>
      </c>
    </row>
    <row r="64" spans="1:9" ht="15" customHeight="1" x14ac:dyDescent="0.3">
      <c r="A64" s="6">
        <v>44166</v>
      </c>
      <c r="B64" s="7" t="s">
        <v>41</v>
      </c>
      <c r="C64" s="7">
        <v>306</v>
      </c>
      <c r="D64" s="7">
        <v>122</v>
      </c>
      <c r="E64" s="7">
        <v>63</v>
      </c>
      <c r="F64" s="7">
        <v>30</v>
      </c>
      <c r="G64" s="8">
        <f t="shared" si="3"/>
        <v>0.39869281045751637</v>
      </c>
      <c r="H64" s="8">
        <f t="shared" si="4"/>
        <v>0.51639344262295084</v>
      </c>
      <c r="I64" s="8">
        <f t="shared" si="5"/>
        <v>0.47619047619047616</v>
      </c>
    </row>
    <row r="65" spans="1:9" ht="15" customHeight="1" x14ac:dyDescent="0.3">
      <c r="A65" s="6">
        <v>44167</v>
      </c>
      <c r="B65" s="7" t="s">
        <v>41</v>
      </c>
      <c r="C65" s="7">
        <v>287</v>
      </c>
      <c r="D65" s="7">
        <v>91</v>
      </c>
      <c r="E65" s="7">
        <v>51</v>
      </c>
      <c r="F65" s="7">
        <v>17</v>
      </c>
      <c r="G65" s="8">
        <f t="shared" si="3"/>
        <v>0.31707317073170732</v>
      </c>
      <c r="H65" s="8">
        <f t="shared" si="4"/>
        <v>0.56043956043956045</v>
      </c>
      <c r="I65" s="8">
        <f t="shared" si="5"/>
        <v>0.33333333333333331</v>
      </c>
    </row>
    <row r="66" spans="1:9" ht="15" customHeight="1" x14ac:dyDescent="0.3">
      <c r="A66" s="6">
        <v>44168</v>
      </c>
      <c r="B66" s="7" t="s">
        <v>41</v>
      </c>
      <c r="C66" s="7">
        <v>367</v>
      </c>
      <c r="D66" s="7">
        <v>104</v>
      </c>
      <c r="E66" s="7">
        <v>56</v>
      </c>
      <c r="F66" s="7">
        <v>24</v>
      </c>
      <c r="G66" s="8">
        <f t="shared" ref="G66:G97" si="6">IFERROR(D66/C66,0)</f>
        <v>0.28337874659400547</v>
      </c>
      <c r="H66" s="8">
        <f t="shared" ref="H66:H97" si="7">IFERROR(E66/D66,0)</f>
        <v>0.53846153846153844</v>
      </c>
      <c r="I66" s="8">
        <f t="shared" ref="I66:I97" si="8">IFERROR(F66/E66,0)</f>
        <v>0.42857142857142855</v>
      </c>
    </row>
    <row r="67" spans="1:9" ht="15" customHeight="1" x14ac:dyDescent="0.3">
      <c r="A67" s="6">
        <v>44169</v>
      </c>
      <c r="B67" s="7" t="s">
        <v>41</v>
      </c>
      <c r="C67" s="7">
        <v>293</v>
      </c>
      <c r="D67" s="7">
        <v>99</v>
      </c>
      <c r="E67" s="7">
        <v>42</v>
      </c>
      <c r="F67" s="7">
        <v>15</v>
      </c>
      <c r="G67" s="8">
        <f t="shared" si="6"/>
        <v>0.33788395904436858</v>
      </c>
      <c r="H67" s="8">
        <f t="shared" si="7"/>
        <v>0.42424242424242425</v>
      </c>
      <c r="I67" s="8">
        <f t="shared" si="8"/>
        <v>0.35714285714285715</v>
      </c>
    </row>
    <row r="68" spans="1:9" ht="15" customHeight="1" x14ac:dyDescent="0.3">
      <c r="A68" s="6">
        <v>44170</v>
      </c>
      <c r="B68" s="7" t="s">
        <v>41</v>
      </c>
      <c r="C68" s="7">
        <v>221</v>
      </c>
      <c r="D68" s="7">
        <v>74</v>
      </c>
      <c r="E68" s="7">
        <v>45</v>
      </c>
      <c r="F68" s="7">
        <v>14</v>
      </c>
      <c r="G68" s="8">
        <f t="shared" si="6"/>
        <v>0.33484162895927599</v>
      </c>
      <c r="H68" s="8">
        <f t="shared" si="7"/>
        <v>0.60810810810810811</v>
      </c>
      <c r="I68" s="8">
        <f t="shared" si="8"/>
        <v>0.31111111111111112</v>
      </c>
    </row>
    <row r="69" spans="1:9" ht="15" customHeight="1" x14ac:dyDescent="0.3">
      <c r="A69" s="6">
        <v>44171</v>
      </c>
      <c r="B69" s="7" t="s">
        <v>41</v>
      </c>
      <c r="C69" s="7">
        <v>213</v>
      </c>
      <c r="D69" s="7">
        <v>73</v>
      </c>
      <c r="E69" s="7">
        <v>40</v>
      </c>
      <c r="F69" s="7">
        <v>10</v>
      </c>
      <c r="G69" s="8">
        <f t="shared" si="6"/>
        <v>0.34272300469483569</v>
      </c>
      <c r="H69" s="8">
        <f t="shared" si="7"/>
        <v>0.54794520547945202</v>
      </c>
      <c r="I69" s="8">
        <f t="shared" si="8"/>
        <v>0.25</v>
      </c>
    </row>
    <row r="70" spans="1:9" ht="15" customHeight="1" x14ac:dyDescent="0.3">
      <c r="A70" s="6">
        <v>44172</v>
      </c>
      <c r="B70" s="7" t="s">
        <v>41</v>
      </c>
      <c r="C70" s="7">
        <v>318</v>
      </c>
      <c r="D70" s="7">
        <v>86</v>
      </c>
      <c r="E70" s="7">
        <v>46</v>
      </c>
      <c r="F70" s="7">
        <v>23</v>
      </c>
      <c r="G70" s="8">
        <f t="shared" si="6"/>
        <v>0.27044025157232704</v>
      </c>
      <c r="H70" s="8">
        <f t="shared" si="7"/>
        <v>0.53488372093023251</v>
      </c>
      <c r="I70" s="8">
        <f t="shared" si="8"/>
        <v>0.5</v>
      </c>
    </row>
    <row r="71" spans="1:9" ht="15" customHeight="1" x14ac:dyDescent="0.3">
      <c r="A71" s="6">
        <v>44173</v>
      </c>
      <c r="B71" s="7" t="s">
        <v>41</v>
      </c>
      <c r="C71" s="7">
        <v>363</v>
      </c>
      <c r="D71" s="7">
        <v>104</v>
      </c>
      <c r="E71" s="7">
        <v>62</v>
      </c>
      <c r="F71" s="7">
        <v>27</v>
      </c>
      <c r="G71" s="8">
        <f t="shared" si="6"/>
        <v>0.28650137741046833</v>
      </c>
      <c r="H71" s="8">
        <f t="shared" si="7"/>
        <v>0.59615384615384615</v>
      </c>
      <c r="I71" s="8">
        <f t="shared" si="8"/>
        <v>0.43548387096774194</v>
      </c>
    </row>
    <row r="72" spans="1:9" ht="15" customHeight="1" x14ac:dyDescent="0.3">
      <c r="A72" s="6">
        <v>44174</v>
      </c>
      <c r="B72" s="7" t="s">
        <v>41</v>
      </c>
      <c r="C72" s="7">
        <v>309</v>
      </c>
      <c r="D72" s="7">
        <v>100</v>
      </c>
      <c r="E72" s="7">
        <v>62</v>
      </c>
      <c r="F72" s="7">
        <v>31</v>
      </c>
      <c r="G72" s="8">
        <f t="shared" si="6"/>
        <v>0.32362459546925565</v>
      </c>
      <c r="H72" s="8">
        <f t="shared" si="7"/>
        <v>0.62</v>
      </c>
      <c r="I72" s="8">
        <f t="shared" si="8"/>
        <v>0.5</v>
      </c>
    </row>
    <row r="73" spans="1:9" ht="15" customHeight="1" x14ac:dyDescent="0.3">
      <c r="A73" s="6">
        <v>44175</v>
      </c>
      <c r="B73" s="7" t="s">
        <v>41</v>
      </c>
      <c r="C73" s="7">
        <v>369</v>
      </c>
      <c r="D73" s="7">
        <v>110</v>
      </c>
      <c r="E73" s="7">
        <v>64</v>
      </c>
      <c r="F73" s="7">
        <v>25</v>
      </c>
      <c r="G73" s="8">
        <f t="shared" si="6"/>
        <v>0.29810298102981031</v>
      </c>
      <c r="H73" s="8">
        <f t="shared" si="7"/>
        <v>0.58181818181818179</v>
      </c>
      <c r="I73" s="8">
        <f t="shared" si="8"/>
        <v>0.390625</v>
      </c>
    </row>
    <row r="74" spans="1:9" ht="15" customHeight="1" x14ac:dyDescent="0.3">
      <c r="A74" s="6">
        <v>44176</v>
      </c>
      <c r="B74" s="7" t="s">
        <v>41</v>
      </c>
      <c r="C74" s="7">
        <v>332</v>
      </c>
      <c r="D74" s="7">
        <v>105</v>
      </c>
      <c r="E74" s="7">
        <v>59</v>
      </c>
      <c r="F74" s="7">
        <v>32</v>
      </c>
      <c r="G74" s="8">
        <f t="shared" si="6"/>
        <v>0.31626506024096385</v>
      </c>
      <c r="H74" s="8">
        <f t="shared" si="7"/>
        <v>0.56190476190476191</v>
      </c>
      <c r="I74" s="8">
        <f t="shared" si="8"/>
        <v>0.5423728813559322</v>
      </c>
    </row>
    <row r="75" spans="1:9" ht="15" customHeight="1" x14ac:dyDescent="0.3">
      <c r="A75" s="6">
        <v>44177</v>
      </c>
      <c r="B75" s="7" t="s">
        <v>41</v>
      </c>
      <c r="C75" s="7">
        <v>219</v>
      </c>
      <c r="D75" s="7">
        <v>69</v>
      </c>
      <c r="E75" s="7">
        <v>46</v>
      </c>
      <c r="F75" s="7">
        <v>21</v>
      </c>
      <c r="G75" s="8">
        <f t="shared" si="6"/>
        <v>0.31506849315068491</v>
      </c>
      <c r="H75" s="8">
        <f t="shared" si="7"/>
        <v>0.66666666666666663</v>
      </c>
      <c r="I75" s="8">
        <f t="shared" si="8"/>
        <v>0.45652173913043476</v>
      </c>
    </row>
    <row r="76" spans="1:9" ht="15" customHeight="1" x14ac:dyDescent="0.3">
      <c r="A76" s="6">
        <v>44178</v>
      </c>
      <c r="B76" s="7" t="s">
        <v>41</v>
      </c>
      <c r="C76" s="7">
        <v>209</v>
      </c>
      <c r="D76" s="7">
        <v>67</v>
      </c>
      <c r="E76" s="7">
        <v>44</v>
      </c>
      <c r="F76" s="7">
        <v>18</v>
      </c>
      <c r="G76" s="8">
        <f t="shared" si="6"/>
        <v>0.32057416267942584</v>
      </c>
      <c r="H76" s="8">
        <f t="shared" si="7"/>
        <v>0.65671641791044777</v>
      </c>
      <c r="I76" s="8">
        <f t="shared" si="8"/>
        <v>0.40909090909090912</v>
      </c>
    </row>
    <row r="77" spans="1:9" ht="15" customHeight="1" x14ac:dyDescent="0.3">
      <c r="A77" s="6">
        <v>44179</v>
      </c>
      <c r="B77" s="7" t="s">
        <v>41</v>
      </c>
      <c r="C77" s="7">
        <v>250</v>
      </c>
      <c r="D77" s="7">
        <v>82</v>
      </c>
      <c r="E77" s="7">
        <v>41</v>
      </c>
      <c r="F77" s="7">
        <v>20</v>
      </c>
      <c r="G77" s="8">
        <f t="shared" si="6"/>
        <v>0.32800000000000001</v>
      </c>
      <c r="H77" s="8">
        <f t="shared" si="7"/>
        <v>0.5</v>
      </c>
      <c r="I77" s="8">
        <f t="shared" si="8"/>
        <v>0.48780487804878048</v>
      </c>
    </row>
    <row r="78" spans="1:9" ht="15" customHeight="1" x14ac:dyDescent="0.3">
      <c r="A78" s="6">
        <v>44180</v>
      </c>
      <c r="B78" s="7" t="s">
        <v>41</v>
      </c>
      <c r="C78" s="7">
        <v>309</v>
      </c>
      <c r="D78" s="7">
        <v>107</v>
      </c>
      <c r="E78" s="7">
        <v>38</v>
      </c>
      <c r="F78" s="7">
        <v>20</v>
      </c>
      <c r="G78" s="8">
        <f t="shared" si="6"/>
        <v>0.34627831715210355</v>
      </c>
      <c r="H78" s="8">
        <f t="shared" si="7"/>
        <v>0.35514018691588783</v>
      </c>
      <c r="I78" s="8">
        <f t="shared" si="8"/>
        <v>0.52631578947368418</v>
      </c>
    </row>
    <row r="79" spans="1:9" ht="15" customHeight="1" x14ac:dyDescent="0.3">
      <c r="A79" s="6">
        <v>44181</v>
      </c>
      <c r="B79" s="7" t="s">
        <v>41</v>
      </c>
      <c r="C79" s="7">
        <v>279</v>
      </c>
      <c r="D79" s="7">
        <v>67</v>
      </c>
      <c r="E79" s="7">
        <v>30</v>
      </c>
      <c r="F79" s="7">
        <v>17</v>
      </c>
      <c r="G79" s="8">
        <f t="shared" si="6"/>
        <v>0.24014336917562723</v>
      </c>
      <c r="H79" s="8">
        <f t="shared" si="7"/>
        <v>0.44776119402985076</v>
      </c>
      <c r="I79" s="8">
        <f t="shared" si="8"/>
        <v>0.56666666666666665</v>
      </c>
    </row>
    <row r="80" spans="1:9" ht="15" customHeight="1" x14ac:dyDescent="0.3">
      <c r="A80" s="6">
        <v>44182</v>
      </c>
      <c r="B80" s="7" t="s">
        <v>41</v>
      </c>
      <c r="C80" s="7">
        <v>310</v>
      </c>
      <c r="D80" s="7">
        <v>72</v>
      </c>
      <c r="E80" s="7">
        <v>34</v>
      </c>
      <c r="F80" s="7">
        <v>15</v>
      </c>
      <c r="G80" s="8">
        <f t="shared" si="6"/>
        <v>0.23225806451612904</v>
      </c>
      <c r="H80" s="8">
        <f t="shared" si="7"/>
        <v>0.47222222222222221</v>
      </c>
      <c r="I80" s="8">
        <f t="shared" si="8"/>
        <v>0.44117647058823528</v>
      </c>
    </row>
    <row r="81" spans="1:9" ht="15" customHeight="1" x14ac:dyDescent="0.3">
      <c r="A81" s="6">
        <v>44183</v>
      </c>
      <c r="B81" s="7" t="s">
        <v>41</v>
      </c>
      <c r="C81" s="7">
        <v>292</v>
      </c>
      <c r="D81" s="7">
        <v>87</v>
      </c>
      <c r="E81" s="7">
        <v>33</v>
      </c>
      <c r="F81" s="7">
        <v>13</v>
      </c>
      <c r="G81" s="8">
        <f t="shared" si="6"/>
        <v>0.29794520547945208</v>
      </c>
      <c r="H81" s="8">
        <f t="shared" si="7"/>
        <v>0.37931034482758619</v>
      </c>
      <c r="I81" s="8">
        <f t="shared" si="8"/>
        <v>0.39393939393939392</v>
      </c>
    </row>
    <row r="82" spans="1:9" ht="15" customHeight="1" x14ac:dyDescent="0.3">
      <c r="A82" s="6">
        <v>44184</v>
      </c>
      <c r="B82" s="7" t="s">
        <v>41</v>
      </c>
      <c r="C82" s="7">
        <v>187</v>
      </c>
      <c r="D82" s="7">
        <v>40</v>
      </c>
      <c r="E82" s="7">
        <v>16</v>
      </c>
      <c r="F82" s="7">
        <v>5</v>
      </c>
      <c r="G82" s="8">
        <f t="shared" si="6"/>
        <v>0.21390374331550802</v>
      </c>
      <c r="H82" s="8">
        <f t="shared" si="7"/>
        <v>0.4</v>
      </c>
      <c r="I82" s="8">
        <f t="shared" si="8"/>
        <v>0.3125</v>
      </c>
    </row>
    <row r="83" spans="1:9" ht="15" customHeight="1" x14ac:dyDescent="0.3">
      <c r="A83" s="6">
        <v>44185</v>
      </c>
      <c r="B83" s="7" t="s">
        <v>41</v>
      </c>
      <c r="C83" s="7">
        <v>145</v>
      </c>
      <c r="D83" s="7">
        <v>26</v>
      </c>
      <c r="E83" s="7">
        <v>13</v>
      </c>
      <c r="F83" s="7">
        <v>4</v>
      </c>
      <c r="G83" s="8">
        <f t="shared" si="6"/>
        <v>0.1793103448275862</v>
      </c>
      <c r="H83" s="8">
        <f t="shared" si="7"/>
        <v>0.5</v>
      </c>
      <c r="I83" s="8">
        <f t="shared" si="8"/>
        <v>0.30769230769230771</v>
      </c>
    </row>
    <row r="84" spans="1:9" ht="15" customHeight="1" x14ac:dyDescent="0.3">
      <c r="A84" s="6">
        <v>44186</v>
      </c>
      <c r="B84" s="7" t="s">
        <v>41</v>
      </c>
      <c r="C84" s="7">
        <v>202</v>
      </c>
      <c r="D84" s="7">
        <v>49</v>
      </c>
      <c r="E84" s="7">
        <v>22</v>
      </c>
      <c r="F84" s="7">
        <v>14</v>
      </c>
      <c r="G84" s="8">
        <f t="shared" si="6"/>
        <v>0.24257425742574257</v>
      </c>
      <c r="H84" s="8">
        <f t="shared" si="7"/>
        <v>0.44897959183673469</v>
      </c>
      <c r="I84" s="8">
        <f t="shared" si="8"/>
        <v>0.63636363636363635</v>
      </c>
    </row>
    <row r="85" spans="1:9" ht="15" customHeight="1" x14ac:dyDescent="0.3">
      <c r="A85" s="6">
        <v>44187</v>
      </c>
      <c r="B85" s="7" t="s">
        <v>41</v>
      </c>
      <c r="C85" s="7">
        <v>253</v>
      </c>
      <c r="D85" s="7">
        <v>70</v>
      </c>
      <c r="E85" s="7">
        <v>25</v>
      </c>
      <c r="F85" s="7">
        <v>15</v>
      </c>
      <c r="G85" s="8">
        <f t="shared" si="6"/>
        <v>0.27667984189723321</v>
      </c>
      <c r="H85" s="8">
        <f t="shared" si="7"/>
        <v>0.35714285714285715</v>
      </c>
      <c r="I85" s="8">
        <f t="shared" si="8"/>
        <v>0.6</v>
      </c>
    </row>
    <row r="86" spans="1:9" ht="15" customHeight="1" x14ac:dyDescent="0.3">
      <c r="A86" s="6">
        <v>44188</v>
      </c>
      <c r="B86" s="7" t="s">
        <v>41</v>
      </c>
      <c r="C86" s="7">
        <v>199</v>
      </c>
      <c r="D86" s="7">
        <v>47</v>
      </c>
      <c r="E86" s="7">
        <v>20</v>
      </c>
      <c r="F86" s="7">
        <v>10</v>
      </c>
      <c r="G86" s="8">
        <f t="shared" si="6"/>
        <v>0.23618090452261306</v>
      </c>
      <c r="H86" s="8">
        <f t="shared" si="7"/>
        <v>0.42553191489361702</v>
      </c>
      <c r="I86" s="8">
        <f t="shared" si="8"/>
        <v>0.5</v>
      </c>
    </row>
    <row r="87" spans="1:9" ht="15" customHeight="1" x14ac:dyDescent="0.3">
      <c r="A87" s="6">
        <v>44189</v>
      </c>
      <c r="B87" s="7" t="s">
        <v>41</v>
      </c>
      <c r="C87" s="7">
        <v>122</v>
      </c>
      <c r="D87" s="7">
        <v>25</v>
      </c>
      <c r="E87" s="7">
        <v>9</v>
      </c>
      <c r="F87" s="7">
        <v>5</v>
      </c>
      <c r="G87" s="8">
        <f t="shared" si="6"/>
        <v>0.20491803278688525</v>
      </c>
      <c r="H87" s="8">
        <f t="shared" si="7"/>
        <v>0.36</v>
      </c>
      <c r="I87" s="8">
        <f t="shared" si="8"/>
        <v>0.55555555555555558</v>
      </c>
    </row>
    <row r="88" spans="1:9" ht="15" customHeight="1" x14ac:dyDescent="0.3">
      <c r="A88" s="6">
        <v>44190</v>
      </c>
      <c r="B88" s="7" t="s">
        <v>41</v>
      </c>
      <c r="C88" s="7">
        <v>98</v>
      </c>
      <c r="D88" s="7">
        <v>29</v>
      </c>
      <c r="E88" s="7">
        <v>9</v>
      </c>
      <c r="F88" s="7">
        <v>3</v>
      </c>
      <c r="G88" s="8">
        <f t="shared" si="6"/>
        <v>0.29591836734693877</v>
      </c>
      <c r="H88" s="8">
        <f t="shared" si="7"/>
        <v>0.31034482758620691</v>
      </c>
      <c r="I88" s="8">
        <f t="shared" si="8"/>
        <v>0.33333333333333331</v>
      </c>
    </row>
    <row r="89" spans="1:9" ht="15" customHeight="1" x14ac:dyDescent="0.3">
      <c r="A89" s="6">
        <v>44191</v>
      </c>
      <c r="B89" s="7" t="s">
        <v>41</v>
      </c>
      <c r="C89" s="7">
        <v>107</v>
      </c>
      <c r="D89" s="7">
        <v>20</v>
      </c>
      <c r="E89" s="7">
        <v>5</v>
      </c>
      <c r="F89" s="7">
        <v>3</v>
      </c>
      <c r="G89" s="8">
        <f t="shared" si="6"/>
        <v>0.18691588785046728</v>
      </c>
      <c r="H89" s="8">
        <f t="shared" si="7"/>
        <v>0.25</v>
      </c>
      <c r="I89" s="8">
        <f t="shared" si="8"/>
        <v>0.6</v>
      </c>
    </row>
    <row r="90" spans="1:9" ht="15" customHeight="1" x14ac:dyDescent="0.3">
      <c r="A90" s="6">
        <v>44192</v>
      </c>
      <c r="B90" s="7" t="s">
        <v>41</v>
      </c>
      <c r="C90" s="7">
        <v>102</v>
      </c>
      <c r="D90" s="7">
        <v>26</v>
      </c>
      <c r="E90" s="7">
        <v>8</v>
      </c>
      <c r="F90" s="7">
        <v>4</v>
      </c>
      <c r="G90" s="8">
        <f t="shared" si="6"/>
        <v>0.25490196078431371</v>
      </c>
      <c r="H90" s="8">
        <f t="shared" si="7"/>
        <v>0.30769230769230771</v>
      </c>
      <c r="I90" s="8">
        <f t="shared" si="8"/>
        <v>0.5</v>
      </c>
    </row>
    <row r="91" spans="1:9" ht="15" customHeight="1" x14ac:dyDescent="0.3">
      <c r="A91" s="6">
        <v>44193</v>
      </c>
      <c r="B91" s="7" t="s">
        <v>41</v>
      </c>
      <c r="C91" s="7">
        <v>138</v>
      </c>
      <c r="D91" s="7">
        <v>24</v>
      </c>
      <c r="E91" s="7">
        <v>4</v>
      </c>
      <c r="F91" s="7">
        <v>3</v>
      </c>
      <c r="G91" s="8">
        <f t="shared" si="6"/>
        <v>0.17391304347826086</v>
      </c>
      <c r="H91" s="8">
        <f t="shared" si="7"/>
        <v>0.16666666666666666</v>
      </c>
      <c r="I91" s="8">
        <f t="shared" si="8"/>
        <v>0.75</v>
      </c>
    </row>
    <row r="92" spans="1:9" ht="15" customHeight="1" x14ac:dyDescent="0.3">
      <c r="A92" s="6">
        <v>44194</v>
      </c>
      <c r="B92" s="7" t="s">
        <v>41</v>
      </c>
      <c r="C92" s="7">
        <v>124</v>
      </c>
      <c r="D92" s="7">
        <v>36</v>
      </c>
      <c r="E92" s="7">
        <v>9</v>
      </c>
      <c r="F92" s="7">
        <v>5</v>
      </c>
      <c r="G92" s="8">
        <f t="shared" si="6"/>
        <v>0.29032258064516131</v>
      </c>
      <c r="H92" s="8">
        <f t="shared" si="7"/>
        <v>0.25</v>
      </c>
      <c r="I92" s="8">
        <f t="shared" si="8"/>
        <v>0.55555555555555558</v>
      </c>
    </row>
    <row r="93" spans="1:9" ht="15" customHeight="1" x14ac:dyDescent="0.3">
      <c r="A93" s="6">
        <v>44195</v>
      </c>
      <c r="B93" s="7" t="s">
        <v>41</v>
      </c>
      <c r="C93" s="7">
        <v>146</v>
      </c>
      <c r="D93" s="7">
        <v>24</v>
      </c>
      <c r="E93" s="7">
        <v>6</v>
      </c>
      <c r="F93" s="7">
        <v>2</v>
      </c>
      <c r="G93" s="8">
        <f t="shared" si="6"/>
        <v>0.16438356164383561</v>
      </c>
      <c r="H93" s="8">
        <f t="shared" si="7"/>
        <v>0.25</v>
      </c>
      <c r="I93" s="8">
        <f t="shared" si="8"/>
        <v>0.33333333333333331</v>
      </c>
    </row>
    <row r="94" spans="1:9" ht="15" customHeight="1" x14ac:dyDescent="0.3">
      <c r="A94" s="6">
        <v>44196</v>
      </c>
      <c r="B94" s="7" t="s">
        <v>41</v>
      </c>
      <c r="C94" s="7">
        <v>104</v>
      </c>
      <c r="D94" s="7">
        <v>25</v>
      </c>
      <c r="E94" s="7">
        <v>15</v>
      </c>
      <c r="F94" s="7">
        <v>7</v>
      </c>
      <c r="G94" s="8">
        <f t="shared" si="6"/>
        <v>0.24038461538461539</v>
      </c>
      <c r="H94" s="8">
        <f t="shared" si="7"/>
        <v>0.6</v>
      </c>
      <c r="I94" s="8">
        <f t="shared" si="8"/>
        <v>0.46666666666666667</v>
      </c>
    </row>
    <row r="95" spans="1:9" ht="15" customHeight="1" x14ac:dyDescent="0.3">
      <c r="A95" s="6">
        <v>44166</v>
      </c>
      <c r="B95" s="7" t="s">
        <v>40</v>
      </c>
      <c r="C95" s="7">
        <v>445</v>
      </c>
      <c r="D95" s="7">
        <v>154</v>
      </c>
      <c r="E95" s="7">
        <v>71</v>
      </c>
      <c r="F95" s="7">
        <v>24</v>
      </c>
      <c r="G95" s="8">
        <f t="shared" si="6"/>
        <v>0.34606741573033706</v>
      </c>
      <c r="H95" s="8">
        <f t="shared" si="7"/>
        <v>0.46103896103896103</v>
      </c>
      <c r="I95" s="8">
        <f t="shared" si="8"/>
        <v>0.3380281690140845</v>
      </c>
    </row>
    <row r="96" spans="1:9" ht="15" customHeight="1" x14ac:dyDescent="0.3">
      <c r="A96" s="6">
        <v>44167</v>
      </c>
      <c r="B96" s="7" t="s">
        <v>40</v>
      </c>
      <c r="C96" s="7">
        <v>418</v>
      </c>
      <c r="D96" s="7">
        <v>143</v>
      </c>
      <c r="E96" s="7">
        <v>75</v>
      </c>
      <c r="F96" s="7">
        <v>26</v>
      </c>
      <c r="G96" s="8">
        <f t="shared" si="6"/>
        <v>0.34210526315789475</v>
      </c>
      <c r="H96" s="8">
        <f t="shared" si="7"/>
        <v>0.52447552447552448</v>
      </c>
      <c r="I96" s="8">
        <f t="shared" si="8"/>
        <v>0.34666666666666668</v>
      </c>
    </row>
    <row r="97" spans="1:9" ht="15" customHeight="1" x14ac:dyDescent="0.3">
      <c r="A97" s="6">
        <v>44168</v>
      </c>
      <c r="B97" s="7" t="s">
        <v>40</v>
      </c>
      <c r="C97" s="7">
        <v>451</v>
      </c>
      <c r="D97" s="7">
        <v>135</v>
      </c>
      <c r="E97" s="7">
        <v>79</v>
      </c>
      <c r="F97" s="7">
        <v>23</v>
      </c>
      <c r="G97" s="8">
        <f t="shared" si="6"/>
        <v>0.29933481152993346</v>
      </c>
      <c r="H97" s="8">
        <f t="shared" si="7"/>
        <v>0.58518518518518514</v>
      </c>
      <c r="I97" s="8">
        <f t="shared" si="8"/>
        <v>0.29113924050632911</v>
      </c>
    </row>
    <row r="98" spans="1:9" ht="15" customHeight="1" x14ac:dyDescent="0.3">
      <c r="A98" s="6">
        <v>44169</v>
      </c>
      <c r="B98" s="7" t="s">
        <v>40</v>
      </c>
      <c r="C98" s="7">
        <v>422</v>
      </c>
      <c r="D98" s="7">
        <v>133</v>
      </c>
      <c r="E98" s="7">
        <v>74</v>
      </c>
      <c r="F98" s="7">
        <v>37</v>
      </c>
      <c r="G98" s="8">
        <f t="shared" ref="G98:G129" si="9">IFERROR(D98/C98,0)</f>
        <v>0.31516587677725116</v>
      </c>
      <c r="H98" s="8">
        <f t="shared" ref="H98:H129" si="10">IFERROR(E98/D98,0)</f>
        <v>0.55639097744360899</v>
      </c>
      <c r="I98" s="8">
        <f t="shared" ref="I98:I129" si="11">IFERROR(F98/E98,0)</f>
        <v>0.5</v>
      </c>
    </row>
    <row r="99" spans="1:9" ht="15" customHeight="1" x14ac:dyDescent="0.3">
      <c r="A99" s="6">
        <v>44170</v>
      </c>
      <c r="B99" s="7" t="s">
        <v>40</v>
      </c>
      <c r="C99" s="7">
        <v>283</v>
      </c>
      <c r="D99" s="7">
        <v>98</v>
      </c>
      <c r="E99" s="7">
        <v>52</v>
      </c>
      <c r="F99" s="7">
        <v>24</v>
      </c>
      <c r="G99" s="8">
        <f t="shared" si="9"/>
        <v>0.3462897526501767</v>
      </c>
      <c r="H99" s="8">
        <f t="shared" si="10"/>
        <v>0.53061224489795922</v>
      </c>
      <c r="I99" s="8">
        <f t="shared" si="11"/>
        <v>0.46153846153846156</v>
      </c>
    </row>
    <row r="100" spans="1:9" ht="15" customHeight="1" x14ac:dyDescent="0.3">
      <c r="A100" s="6">
        <v>44171</v>
      </c>
      <c r="B100" s="7" t="s">
        <v>40</v>
      </c>
      <c r="C100" s="7">
        <v>251</v>
      </c>
      <c r="D100" s="7">
        <v>83</v>
      </c>
      <c r="E100" s="7">
        <v>39</v>
      </c>
      <c r="F100" s="7">
        <v>10</v>
      </c>
      <c r="G100" s="8">
        <f t="shared" si="9"/>
        <v>0.33067729083665337</v>
      </c>
      <c r="H100" s="8">
        <f t="shared" si="10"/>
        <v>0.46987951807228917</v>
      </c>
      <c r="I100" s="8">
        <f t="shared" si="11"/>
        <v>0.25641025641025639</v>
      </c>
    </row>
    <row r="101" spans="1:9" ht="15" customHeight="1" x14ac:dyDescent="0.3">
      <c r="A101" s="6">
        <v>44172</v>
      </c>
      <c r="B101" s="7" t="s">
        <v>40</v>
      </c>
      <c r="C101" s="7">
        <v>412</v>
      </c>
      <c r="D101" s="7">
        <v>118</v>
      </c>
      <c r="E101" s="7">
        <v>58</v>
      </c>
      <c r="F101" s="7">
        <v>23</v>
      </c>
      <c r="G101" s="8">
        <f t="shared" si="9"/>
        <v>0.28640776699029125</v>
      </c>
      <c r="H101" s="8">
        <f t="shared" si="10"/>
        <v>0.49152542372881358</v>
      </c>
      <c r="I101" s="8">
        <f t="shared" si="11"/>
        <v>0.39655172413793105</v>
      </c>
    </row>
    <row r="102" spans="1:9" ht="15" customHeight="1" x14ac:dyDescent="0.3">
      <c r="A102" s="6">
        <v>44173</v>
      </c>
      <c r="B102" s="7" t="s">
        <v>40</v>
      </c>
      <c r="C102" s="7">
        <v>466</v>
      </c>
      <c r="D102" s="7">
        <v>142</v>
      </c>
      <c r="E102" s="7">
        <v>72</v>
      </c>
      <c r="F102" s="7">
        <v>26</v>
      </c>
      <c r="G102" s="8">
        <f t="shared" si="9"/>
        <v>0.30472103004291845</v>
      </c>
      <c r="H102" s="8">
        <f t="shared" si="10"/>
        <v>0.50704225352112675</v>
      </c>
      <c r="I102" s="8">
        <f t="shared" si="11"/>
        <v>0.3611111111111111</v>
      </c>
    </row>
    <row r="103" spans="1:9" ht="15" customHeight="1" x14ac:dyDescent="0.3">
      <c r="A103" s="6">
        <v>44174</v>
      </c>
      <c r="B103" s="7" t="s">
        <v>40</v>
      </c>
      <c r="C103" s="7">
        <v>429</v>
      </c>
      <c r="D103" s="7">
        <v>134</v>
      </c>
      <c r="E103" s="7">
        <v>81</v>
      </c>
      <c r="F103" s="7">
        <v>40</v>
      </c>
      <c r="G103" s="8">
        <f t="shared" si="9"/>
        <v>0.31235431235431238</v>
      </c>
      <c r="H103" s="8">
        <f t="shared" si="10"/>
        <v>0.60447761194029848</v>
      </c>
      <c r="I103" s="8">
        <f t="shared" si="11"/>
        <v>0.49382716049382713</v>
      </c>
    </row>
    <row r="104" spans="1:9" ht="15" customHeight="1" x14ac:dyDescent="0.3">
      <c r="A104" s="6">
        <v>44175</v>
      </c>
      <c r="B104" s="7" t="s">
        <v>40</v>
      </c>
      <c r="C104" s="7">
        <v>469</v>
      </c>
      <c r="D104" s="7">
        <v>147</v>
      </c>
      <c r="E104" s="7">
        <v>85</v>
      </c>
      <c r="F104" s="7">
        <v>36</v>
      </c>
      <c r="G104" s="8">
        <f t="shared" si="9"/>
        <v>0.31343283582089554</v>
      </c>
      <c r="H104" s="8">
        <f t="shared" si="10"/>
        <v>0.57823129251700678</v>
      </c>
      <c r="I104" s="8">
        <f t="shared" si="11"/>
        <v>0.42352941176470588</v>
      </c>
    </row>
    <row r="105" spans="1:9" ht="15" customHeight="1" x14ac:dyDescent="0.3">
      <c r="A105" s="6">
        <v>44176</v>
      </c>
      <c r="B105" s="7" t="s">
        <v>40</v>
      </c>
      <c r="C105" s="7">
        <v>423</v>
      </c>
      <c r="D105" s="7">
        <v>121</v>
      </c>
      <c r="E105" s="7">
        <v>82</v>
      </c>
      <c r="F105" s="7">
        <v>46</v>
      </c>
      <c r="G105" s="8">
        <f t="shared" si="9"/>
        <v>0.2860520094562648</v>
      </c>
      <c r="H105" s="8">
        <f t="shared" si="10"/>
        <v>0.6776859504132231</v>
      </c>
      <c r="I105" s="8">
        <f t="shared" si="11"/>
        <v>0.56097560975609762</v>
      </c>
    </row>
    <row r="106" spans="1:9" ht="15" customHeight="1" x14ac:dyDescent="0.3">
      <c r="A106" s="6">
        <v>44177</v>
      </c>
      <c r="B106" s="7" t="s">
        <v>40</v>
      </c>
      <c r="C106" s="7">
        <v>288</v>
      </c>
      <c r="D106" s="7">
        <v>103</v>
      </c>
      <c r="E106" s="7">
        <v>57</v>
      </c>
      <c r="F106" s="7">
        <v>27</v>
      </c>
      <c r="G106" s="8">
        <f t="shared" si="9"/>
        <v>0.3576388888888889</v>
      </c>
      <c r="H106" s="8">
        <f t="shared" si="10"/>
        <v>0.55339805825242716</v>
      </c>
      <c r="I106" s="8">
        <f t="shared" si="11"/>
        <v>0.47368421052631576</v>
      </c>
    </row>
    <row r="107" spans="1:9" ht="15" customHeight="1" x14ac:dyDescent="0.3">
      <c r="A107" s="6">
        <v>44178</v>
      </c>
      <c r="B107" s="7" t="s">
        <v>40</v>
      </c>
      <c r="C107" s="7">
        <v>254</v>
      </c>
      <c r="D107" s="7">
        <v>95</v>
      </c>
      <c r="E107" s="7">
        <v>50</v>
      </c>
      <c r="F107" s="7">
        <v>20</v>
      </c>
      <c r="G107" s="8">
        <f t="shared" si="9"/>
        <v>0.37401574803149606</v>
      </c>
      <c r="H107" s="8">
        <f t="shared" si="10"/>
        <v>0.52631578947368418</v>
      </c>
      <c r="I107" s="8">
        <f t="shared" si="11"/>
        <v>0.4</v>
      </c>
    </row>
    <row r="108" spans="1:9" ht="15" customHeight="1" x14ac:dyDescent="0.3">
      <c r="A108" s="6">
        <v>44179</v>
      </c>
      <c r="B108" s="7" t="s">
        <v>40</v>
      </c>
      <c r="C108" s="7">
        <v>368</v>
      </c>
      <c r="D108" s="7">
        <v>133</v>
      </c>
      <c r="E108" s="7">
        <v>59</v>
      </c>
      <c r="F108" s="7">
        <v>25</v>
      </c>
      <c r="G108" s="8">
        <f t="shared" si="9"/>
        <v>0.36141304347826086</v>
      </c>
      <c r="H108" s="8">
        <f t="shared" si="10"/>
        <v>0.44360902255639095</v>
      </c>
      <c r="I108" s="8">
        <f t="shared" si="11"/>
        <v>0.42372881355932202</v>
      </c>
    </row>
    <row r="109" spans="1:9" ht="15" customHeight="1" x14ac:dyDescent="0.3">
      <c r="A109" s="6">
        <v>44180</v>
      </c>
      <c r="B109" s="7" t="s">
        <v>40</v>
      </c>
      <c r="C109" s="7">
        <v>413</v>
      </c>
      <c r="D109" s="7">
        <v>128</v>
      </c>
      <c r="E109" s="7">
        <v>68</v>
      </c>
      <c r="F109" s="7">
        <v>38</v>
      </c>
      <c r="G109" s="8">
        <f t="shared" si="9"/>
        <v>0.30992736077481842</v>
      </c>
      <c r="H109" s="8">
        <f t="shared" si="10"/>
        <v>0.53125</v>
      </c>
      <c r="I109" s="8">
        <f t="shared" si="11"/>
        <v>0.55882352941176472</v>
      </c>
    </row>
    <row r="110" spans="1:9" ht="15" customHeight="1" x14ac:dyDescent="0.3">
      <c r="A110" s="6">
        <v>44181</v>
      </c>
      <c r="B110" s="7" t="s">
        <v>40</v>
      </c>
      <c r="C110" s="7">
        <v>397</v>
      </c>
      <c r="D110" s="7">
        <v>88</v>
      </c>
      <c r="E110" s="7">
        <v>50</v>
      </c>
      <c r="F110" s="7">
        <v>27</v>
      </c>
      <c r="G110" s="8">
        <f t="shared" si="9"/>
        <v>0.22166246851385391</v>
      </c>
      <c r="H110" s="8">
        <f t="shared" si="10"/>
        <v>0.56818181818181823</v>
      </c>
      <c r="I110" s="8">
        <f t="shared" si="11"/>
        <v>0.54</v>
      </c>
    </row>
    <row r="111" spans="1:9" ht="15" customHeight="1" x14ac:dyDescent="0.3">
      <c r="A111" s="6">
        <v>44182</v>
      </c>
      <c r="B111" s="7" t="s">
        <v>40</v>
      </c>
      <c r="C111" s="7">
        <v>430</v>
      </c>
      <c r="D111" s="7">
        <v>119</v>
      </c>
      <c r="E111" s="7">
        <v>52</v>
      </c>
      <c r="F111" s="7">
        <v>30</v>
      </c>
      <c r="G111" s="8">
        <f t="shared" si="9"/>
        <v>0.27674418604651163</v>
      </c>
      <c r="H111" s="8">
        <f t="shared" si="10"/>
        <v>0.43697478991596639</v>
      </c>
      <c r="I111" s="8">
        <f t="shared" si="11"/>
        <v>0.57692307692307687</v>
      </c>
    </row>
    <row r="112" spans="1:9" ht="15" customHeight="1" x14ac:dyDescent="0.3">
      <c r="A112" s="6">
        <v>44183</v>
      </c>
      <c r="B112" s="7" t="s">
        <v>40</v>
      </c>
      <c r="C112" s="7">
        <v>358</v>
      </c>
      <c r="D112" s="7">
        <v>88</v>
      </c>
      <c r="E112" s="7">
        <v>51</v>
      </c>
      <c r="F112" s="7">
        <v>24</v>
      </c>
      <c r="G112" s="8">
        <f t="shared" si="9"/>
        <v>0.24581005586592178</v>
      </c>
      <c r="H112" s="8">
        <f t="shared" si="10"/>
        <v>0.57954545454545459</v>
      </c>
      <c r="I112" s="8">
        <f t="shared" si="11"/>
        <v>0.47058823529411764</v>
      </c>
    </row>
    <row r="113" spans="1:9" ht="15" customHeight="1" x14ac:dyDescent="0.3">
      <c r="A113" s="6">
        <v>44184</v>
      </c>
      <c r="B113" s="7" t="s">
        <v>40</v>
      </c>
      <c r="C113" s="7">
        <v>256</v>
      </c>
      <c r="D113" s="7">
        <v>69</v>
      </c>
      <c r="E113" s="7">
        <v>31</v>
      </c>
      <c r="F113" s="7">
        <v>14</v>
      </c>
      <c r="G113" s="8">
        <f t="shared" si="9"/>
        <v>0.26953125</v>
      </c>
      <c r="H113" s="8">
        <f t="shared" si="10"/>
        <v>0.44927536231884058</v>
      </c>
      <c r="I113" s="8">
        <f t="shared" si="11"/>
        <v>0.45161290322580644</v>
      </c>
    </row>
    <row r="114" spans="1:9" ht="15" customHeight="1" x14ac:dyDescent="0.3">
      <c r="A114" s="6">
        <v>44185</v>
      </c>
      <c r="B114" s="7" t="s">
        <v>40</v>
      </c>
      <c r="C114" s="7">
        <v>190</v>
      </c>
      <c r="D114" s="7">
        <v>45</v>
      </c>
      <c r="E114" s="7">
        <v>18</v>
      </c>
      <c r="F114" s="7">
        <v>9</v>
      </c>
      <c r="G114" s="8">
        <f t="shared" si="9"/>
        <v>0.23684210526315788</v>
      </c>
      <c r="H114" s="8">
        <f t="shared" si="10"/>
        <v>0.4</v>
      </c>
      <c r="I114" s="8">
        <f t="shared" si="11"/>
        <v>0.5</v>
      </c>
    </row>
    <row r="115" spans="1:9" ht="15" customHeight="1" x14ac:dyDescent="0.3">
      <c r="A115" s="6">
        <v>44186</v>
      </c>
      <c r="B115" s="7" t="s">
        <v>40</v>
      </c>
      <c r="C115" s="7">
        <v>277</v>
      </c>
      <c r="D115" s="7">
        <v>58</v>
      </c>
      <c r="E115" s="7">
        <v>23</v>
      </c>
      <c r="F115" s="7">
        <v>12</v>
      </c>
      <c r="G115" s="8">
        <f t="shared" si="9"/>
        <v>0.20938628158844766</v>
      </c>
      <c r="H115" s="8">
        <f t="shared" si="10"/>
        <v>0.39655172413793105</v>
      </c>
      <c r="I115" s="8">
        <f t="shared" si="11"/>
        <v>0.52173913043478259</v>
      </c>
    </row>
    <row r="116" spans="1:9" ht="15" customHeight="1" x14ac:dyDescent="0.3">
      <c r="A116" s="6">
        <v>44187</v>
      </c>
      <c r="B116" s="7" t="s">
        <v>40</v>
      </c>
      <c r="C116" s="7">
        <v>319</v>
      </c>
      <c r="D116" s="7">
        <v>64</v>
      </c>
      <c r="E116" s="7">
        <v>28</v>
      </c>
      <c r="F116" s="7">
        <v>12</v>
      </c>
      <c r="G116" s="8">
        <f t="shared" si="9"/>
        <v>0.20062695924764889</v>
      </c>
      <c r="H116" s="8">
        <f t="shared" si="10"/>
        <v>0.4375</v>
      </c>
      <c r="I116" s="8">
        <f t="shared" si="11"/>
        <v>0.42857142857142855</v>
      </c>
    </row>
    <row r="117" spans="1:9" ht="15" customHeight="1" x14ac:dyDescent="0.3">
      <c r="A117" s="6">
        <v>44188</v>
      </c>
      <c r="B117" s="7" t="s">
        <v>40</v>
      </c>
      <c r="C117" s="7">
        <v>235</v>
      </c>
      <c r="D117" s="7">
        <v>64</v>
      </c>
      <c r="E117" s="7">
        <v>29</v>
      </c>
      <c r="F117" s="7">
        <v>17</v>
      </c>
      <c r="G117" s="8">
        <f t="shared" si="9"/>
        <v>0.2723404255319149</v>
      </c>
      <c r="H117" s="8">
        <f t="shared" si="10"/>
        <v>0.453125</v>
      </c>
      <c r="I117" s="8">
        <f t="shared" si="11"/>
        <v>0.58620689655172409</v>
      </c>
    </row>
    <row r="118" spans="1:9" ht="15" customHeight="1" x14ac:dyDescent="0.3">
      <c r="A118" s="6">
        <v>44189</v>
      </c>
      <c r="B118" s="7" t="s">
        <v>40</v>
      </c>
      <c r="C118" s="7">
        <v>163</v>
      </c>
      <c r="D118" s="7">
        <v>34</v>
      </c>
      <c r="E118" s="7">
        <v>9</v>
      </c>
      <c r="F118" s="7">
        <v>5</v>
      </c>
      <c r="G118" s="8">
        <f t="shared" si="9"/>
        <v>0.20858895705521471</v>
      </c>
      <c r="H118" s="8">
        <f t="shared" si="10"/>
        <v>0.26470588235294118</v>
      </c>
      <c r="I118" s="8">
        <f t="shared" si="11"/>
        <v>0.55555555555555558</v>
      </c>
    </row>
    <row r="119" spans="1:9" ht="15" customHeight="1" x14ac:dyDescent="0.3">
      <c r="A119" s="6">
        <v>44190</v>
      </c>
      <c r="B119" s="7" t="s">
        <v>40</v>
      </c>
      <c r="C119" s="7">
        <v>132</v>
      </c>
      <c r="D119" s="7">
        <v>18</v>
      </c>
      <c r="E119" s="7">
        <v>9</v>
      </c>
      <c r="F119" s="7">
        <v>5</v>
      </c>
      <c r="G119" s="8">
        <f t="shared" si="9"/>
        <v>0.13636363636363635</v>
      </c>
      <c r="H119" s="8">
        <f t="shared" si="10"/>
        <v>0.5</v>
      </c>
      <c r="I119" s="8">
        <f t="shared" si="11"/>
        <v>0.55555555555555558</v>
      </c>
    </row>
    <row r="120" spans="1:9" ht="15" customHeight="1" x14ac:dyDescent="0.3">
      <c r="A120" s="6">
        <v>44191</v>
      </c>
      <c r="B120" s="7" t="s">
        <v>40</v>
      </c>
      <c r="C120" s="7">
        <v>146</v>
      </c>
      <c r="D120" s="7">
        <v>26</v>
      </c>
      <c r="E120" s="7">
        <v>9</v>
      </c>
      <c r="F120" s="7">
        <v>6</v>
      </c>
      <c r="G120" s="8">
        <f t="shared" si="9"/>
        <v>0.17808219178082191</v>
      </c>
      <c r="H120" s="8">
        <f t="shared" si="10"/>
        <v>0.34615384615384615</v>
      </c>
      <c r="I120" s="8">
        <f t="shared" si="11"/>
        <v>0.66666666666666663</v>
      </c>
    </row>
    <row r="121" spans="1:9" ht="15" customHeight="1" x14ac:dyDescent="0.3">
      <c r="A121" s="6">
        <v>44192</v>
      </c>
      <c r="B121" s="7" t="s">
        <v>40</v>
      </c>
      <c r="C121" s="7">
        <v>159</v>
      </c>
      <c r="D121" s="7">
        <v>29</v>
      </c>
      <c r="E121" s="7">
        <v>10</v>
      </c>
      <c r="F121" s="7">
        <v>5</v>
      </c>
      <c r="G121" s="8">
        <f t="shared" si="9"/>
        <v>0.18238993710691823</v>
      </c>
      <c r="H121" s="8">
        <f t="shared" si="10"/>
        <v>0.34482758620689657</v>
      </c>
      <c r="I121" s="8">
        <f t="shared" si="11"/>
        <v>0.5</v>
      </c>
    </row>
    <row r="122" spans="1:9" ht="15" customHeight="1" x14ac:dyDescent="0.3">
      <c r="A122" s="6">
        <v>44193</v>
      </c>
      <c r="B122" s="7" t="s">
        <v>40</v>
      </c>
      <c r="C122" s="7">
        <v>204</v>
      </c>
      <c r="D122" s="7">
        <v>50</v>
      </c>
      <c r="E122" s="7">
        <v>18</v>
      </c>
      <c r="F122" s="7">
        <v>12</v>
      </c>
      <c r="G122" s="8">
        <f t="shared" si="9"/>
        <v>0.24509803921568626</v>
      </c>
      <c r="H122" s="8">
        <f t="shared" si="10"/>
        <v>0.36</v>
      </c>
      <c r="I122" s="8">
        <f t="shared" si="11"/>
        <v>0.66666666666666663</v>
      </c>
    </row>
    <row r="123" spans="1:9" ht="15" customHeight="1" x14ac:dyDescent="0.3">
      <c r="A123" s="6">
        <v>44194</v>
      </c>
      <c r="B123" s="7" t="s">
        <v>40</v>
      </c>
      <c r="C123" s="7">
        <v>193</v>
      </c>
      <c r="D123" s="7">
        <v>33</v>
      </c>
      <c r="E123" s="7">
        <v>9</v>
      </c>
      <c r="F123" s="7">
        <v>5</v>
      </c>
      <c r="G123" s="8">
        <f t="shared" si="9"/>
        <v>0.17098445595854922</v>
      </c>
      <c r="H123" s="8">
        <f t="shared" si="10"/>
        <v>0.27272727272727271</v>
      </c>
      <c r="I123" s="8">
        <f t="shared" si="11"/>
        <v>0.55555555555555558</v>
      </c>
    </row>
    <row r="124" spans="1:9" ht="15" customHeight="1" x14ac:dyDescent="0.3">
      <c r="A124" s="6">
        <v>44195</v>
      </c>
      <c r="B124" s="7" t="s">
        <v>40</v>
      </c>
      <c r="C124" s="7">
        <v>171</v>
      </c>
      <c r="D124" s="7">
        <v>38</v>
      </c>
      <c r="E124" s="7">
        <v>12</v>
      </c>
      <c r="F124" s="7">
        <v>7</v>
      </c>
      <c r="G124" s="8">
        <f t="shared" si="9"/>
        <v>0.22222222222222221</v>
      </c>
      <c r="H124" s="8">
        <f t="shared" si="10"/>
        <v>0.31578947368421051</v>
      </c>
      <c r="I124" s="8">
        <f t="shared" si="11"/>
        <v>0.58333333333333337</v>
      </c>
    </row>
    <row r="125" spans="1:9" ht="15" customHeight="1" x14ac:dyDescent="0.3">
      <c r="A125" s="6">
        <v>44196</v>
      </c>
      <c r="B125" s="7" t="s">
        <v>40</v>
      </c>
      <c r="C125" s="7">
        <v>138</v>
      </c>
      <c r="D125" s="7">
        <v>29</v>
      </c>
      <c r="E125" s="7">
        <v>12</v>
      </c>
      <c r="F125" s="7">
        <v>6</v>
      </c>
      <c r="G125" s="8">
        <f t="shared" si="9"/>
        <v>0.21014492753623187</v>
      </c>
      <c r="H125" s="8">
        <f t="shared" si="10"/>
        <v>0.41379310344827586</v>
      </c>
      <c r="I125" s="8">
        <f t="shared" si="11"/>
        <v>0.5</v>
      </c>
    </row>
    <row r="126" spans="1:9" ht="15" customHeight="1" x14ac:dyDescent="0.3">
      <c r="A126" s="6">
        <v>44166</v>
      </c>
      <c r="B126" s="7" t="s">
        <v>43</v>
      </c>
      <c r="C126" s="7">
        <v>105</v>
      </c>
      <c r="D126" s="7">
        <v>35</v>
      </c>
      <c r="E126" s="7">
        <v>19</v>
      </c>
      <c r="F126" s="7">
        <v>9</v>
      </c>
      <c r="G126" s="8">
        <f t="shared" si="9"/>
        <v>0.33333333333333331</v>
      </c>
      <c r="H126" s="8">
        <f t="shared" si="10"/>
        <v>0.54285714285714282</v>
      </c>
      <c r="I126" s="8">
        <f t="shared" si="11"/>
        <v>0.47368421052631576</v>
      </c>
    </row>
    <row r="127" spans="1:9" ht="15" customHeight="1" x14ac:dyDescent="0.3">
      <c r="A127" s="6">
        <v>44167</v>
      </c>
      <c r="B127" s="7" t="s">
        <v>43</v>
      </c>
      <c r="C127" s="7">
        <v>111</v>
      </c>
      <c r="D127" s="7">
        <v>37</v>
      </c>
      <c r="E127" s="7">
        <v>22</v>
      </c>
      <c r="F127" s="7">
        <v>9</v>
      </c>
      <c r="G127" s="8">
        <f t="shared" si="9"/>
        <v>0.33333333333333331</v>
      </c>
      <c r="H127" s="8">
        <f t="shared" si="10"/>
        <v>0.59459459459459463</v>
      </c>
      <c r="I127" s="8">
        <f t="shared" si="11"/>
        <v>0.40909090909090912</v>
      </c>
    </row>
    <row r="128" spans="1:9" ht="15" customHeight="1" x14ac:dyDescent="0.3">
      <c r="A128" s="6">
        <v>44168</v>
      </c>
      <c r="B128" s="7" t="s">
        <v>43</v>
      </c>
      <c r="C128" s="7">
        <v>124</v>
      </c>
      <c r="D128" s="7">
        <v>35</v>
      </c>
      <c r="E128" s="7">
        <v>24</v>
      </c>
      <c r="F128" s="7">
        <v>11</v>
      </c>
      <c r="G128" s="8">
        <f t="shared" si="9"/>
        <v>0.28225806451612906</v>
      </c>
      <c r="H128" s="8">
        <f t="shared" si="10"/>
        <v>0.68571428571428572</v>
      </c>
      <c r="I128" s="8">
        <f t="shared" si="11"/>
        <v>0.45833333333333331</v>
      </c>
    </row>
    <row r="129" spans="1:9" ht="15" customHeight="1" x14ac:dyDescent="0.3">
      <c r="A129" s="6">
        <v>44169</v>
      </c>
      <c r="B129" s="7" t="s">
        <v>43</v>
      </c>
      <c r="C129" s="7">
        <v>90</v>
      </c>
      <c r="D129" s="7">
        <v>41</v>
      </c>
      <c r="E129" s="7">
        <v>25</v>
      </c>
      <c r="F129" s="7">
        <v>13</v>
      </c>
      <c r="G129" s="8">
        <f t="shared" si="9"/>
        <v>0.45555555555555555</v>
      </c>
      <c r="H129" s="8">
        <f t="shared" si="10"/>
        <v>0.6097560975609756</v>
      </c>
      <c r="I129" s="8">
        <f t="shared" si="11"/>
        <v>0.52</v>
      </c>
    </row>
    <row r="130" spans="1:9" ht="15" customHeight="1" x14ac:dyDescent="0.3">
      <c r="A130" s="6">
        <v>44170</v>
      </c>
      <c r="B130" s="7" t="s">
        <v>43</v>
      </c>
      <c r="C130" s="7">
        <v>74</v>
      </c>
      <c r="D130" s="7">
        <v>32</v>
      </c>
      <c r="E130" s="7">
        <v>18</v>
      </c>
      <c r="F130" s="7">
        <v>10</v>
      </c>
      <c r="G130" s="8">
        <f t="shared" ref="G130:G156" si="12">IFERROR(D130/C130,0)</f>
        <v>0.43243243243243246</v>
      </c>
      <c r="H130" s="8">
        <f t="shared" ref="H130:H156" si="13">IFERROR(E130/D130,0)</f>
        <v>0.5625</v>
      </c>
      <c r="I130" s="8">
        <f t="shared" ref="I130:I156" si="14">IFERROR(F130/E130,0)</f>
        <v>0.55555555555555558</v>
      </c>
    </row>
    <row r="131" spans="1:9" ht="15" customHeight="1" x14ac:dyDescent="0.3">
      <c r="A131" s="6">
        <v>44171</v>
      </c>
      <c r="B131" s="7" t="s">
        <v>43</v>
      </c>
      <c r="C131" s="7">
        <v>69</v>
      </c>
      <c r="D131" s="7">
        <v>25</v>
      </c>
      <c r="E131" s="7">
        <v>16</v>
      </c>
      <c r="F131" s="7">
        <v>5</v>
      </c>
      <c r="G131" s="8">
        <f t="shared" si="12"/>
        <v>0.36231884057971014</v>
      </c>
      <c r="H131" s="8">
        <f t="shared" si="13"/>
        <v>0.64</v>
      </c>
      <c r="I131" s="8">
        <f t="shared" si="14"/>
        <v>0.3125</v>
      </c>
    </row>
    <row r="132" spans="1:9" ht="15" customHeight="1" x14ac:dyDescent="0.3">
      <c r="A132" s="6">
        <v>44172</v>
      </c>
      <c r="B132" s="7" t="s">
        <v>43</v>
      </c>
      <c r="C132" s="7">
        <v>93</v>
      </c>
      <c r="D132" s="7">
        <v>31</v>
      </c>
      <c r="E132" s="7">
        <v>18</v>
      </c>
      <c r="F132" s="7">
        <v>12</v>
      </c>
      <c r="G132" s="8">
        <f t="shared" si="12"/>
        <v>0.33333333333333331</v>
      </c>
      <c r="H132" s="8">
        <f t="shared" si="13"/>
        <v>0.58064516129032262</v>
      </c>
      <c r="I132" s="8">
        <f t="shared" si="14"/>
        <v>0.66666666666666663</v>
      </c>
    </row>
    <row r="133" spans="1:9" ht="15" customHeight="1" x14ac:dyDescent="0.3">
      <c r="A133" s="6">
        <v>44173</v>
      </c>
      <c r="B133" s="7" t="s">
        <v>43</v>
      </c>
      <c r="C133" s="7">
        <v>129</v>
      </c>
      <c r="D133" s="7">
        <v>48</v>
      </c>
      <c r="E133" s="7">
        <v>29</v>
      </c>
      <c r="F133" s="7">
        <v>15</v>
      </c>
      <c r="G133" s="8">
        <f t="shared" si="12"/>
        <v>0.37209302325581395</v>
      </c>
      <c r="H133" s="8">
        <f t="shared" si="13"/>
        <v>0.60416666666666663</v>
      </c>
      <c r="I133" s="8">
        <f t="shared" si="14"/>
        <v>0.51724137931034486</v>
      </c>
    </row>
    <row r="134" spans="1:9" ht="15" customHeight="1" x14ac:dyDescent="0.3">
      <c r="A134" s="6">
        <v>44174</v>
      </c>
      <c r="B134" s="7" t="s">
        <v>43</v>
      </c>
      <c r="C134" s="7">
        <v>122</v>
      </c>
      <c r="D134" s="7">
        <v>45</v>
      </c>
      <c r="E134" s="7">
        <v>32</v>
      </c>
      <c r="F134" s="7">
        <v>17</v>
      </c>
      <c r="G134" s="8">
        <f t="shared" si="12"/>
        <v>0.36885245901639346</v>
      </c>
      <c r="H134" s="8">
        <f t="shared" si="13"/>
        <v>0.71111111111111114</v>
      </c>
      <c r="I134" s="8">
        <f t="shared" si="14"/>
        <v>0.53125</v>
      </c>
    </row>
    <row r="135" spans="1:9" ht="15" customHeight="1" x14ac:dyDescent="0.3">
      <c r="A135" s="6">
        <v>44175</v>
      </c>
      <c r="B135" s="7" t="s">
        <v>43</v>
      </c>
      <c r="C135" s="7">
        <v>139</v>
      </c>
      <c r="D135" s="7">
        <v>48</v>
      </c>
      <c r="E135" s="7">
        <v>26</v>
      </c>
      <c r="F135" s="7">
        <v>15</v>
      </c>
      <c r="G135" s="8">
        <f t="shared" si="12"/>
        <v>0.34532374100719426</v>
      </c>
      <c r="H135" s="8">
        <f t="shared" si="13"/>
        <v>0.54166666666666663</v>
      </c>
      <c r="I135" s="8">
        <f t="shared" si="14"/>
        <v>0.57692307692307687</v>
      </c>
    </row>
    <row r="136" spans="1:9" ht="15" customHeight="1" x14ac:dyDescent="0.3">
      <c r="A136" s="6">
        <v>44176</v>
      </c>
      <c r="B136" s="7" t="s">
        <v>43</v>
      </c>
      <c r="C136" s="7">
        <v>111</v>
      </c>
      <c r="D136" s="7">
        <v>40</v>
      </c>
      <c r="E136" s="7">
        <v>30</v>
      </c>
      <c r="F136" s="7">
        <v>19</v>
      </c>
      <c r="G136" s="8">
        <f t="shared" si="12"/>
        <v>0.36036036036036034</v>
      </c>
      <c r="H136" s="8">
        <f t="shared" si="13"/>
        <v>0.75</v>
      </c>
      <c r="I136" s="8">
        <f t="shared" si="14"/>
        <v>0.6333333333333333</v>
      </c>
    </row>
    <row r="137" spans="1:9" ht="15" customHeight="1" x14ac:dyDescent="0.3">
      <c r="A137" s="6">
        <v>44177</v>
      </c>
      <c r="B137" s="7" t="s">
        <v>43</v>
      </c>
      <c r="C137" s="7">
        <v>75</v>
      </c>
      <c r="D137" s="7">
        <v>24</v>
      </c>
      <c r="E137" s="7">
        <v>14</v>
      </c>
      <c r="F137" s="7">
        <v>8</v>
      </c>
      <c r="G137" s="8">
        <f t="shared" si="12"/>
        <v>0.32</v>
      </c>
      <c r="H137" s="8">
        <f t="shared" si="13"/>
        <v>0.58333333333333337</v>
      </c>
      <c r="I137" s="8">
        <f t="shared" si="14"/>
        <v>0.5714285714285714</v>
      </c>
    </row>
    <row r="138" spans="1:9" ht="15" customHeight="1" x14ac:dyDescent="0.3">
      <c r="A138" s="6">
        <v>44178</v>
      </c>
      <c r="B138" s="7" t="s">
        <v>43</v>
      </c>
      <c r="C138" s="7">
        <v>48</v>
      </c>
      <c r="D138" s="7">
        <v>17</v>
      </c>
      <c r="E138" s="7">
        <v>9</v>
      </c>
      <c r="F138" s="7">
        <v>6</v>
      </c>
      <c r="G138" s="8">
        <f t="shared" si="12"/>
        <v>0.35416666666666669</v>
      </c>
      <c r="H138" s="8">
        <f t="shared" si="13"/>
        <v>0.52941176470588236</v>
      </c>
      <c r="I138" s="8">
        <f t="shared" si="14"/>
        <v>0.66666666666666663</v>
      </c>
    </row>
    <row r="139" spans="1:9" ht="15" customHeight="1" x14ac:dyDescent="0.3">
      <c r="A139" s="6">
        <v>44179</v>
      </c>
      <c r="B139" s="7" t="s">
        <v>43</v>
      </c>
      <c r="C139" s="7">
        <v>99</v>
      </c>
      <c r="D139" s="7">
        <v>41</v>
      </c>
      <c r="E139" s="7">
        <v>20</v>
      </c>
      <c r="F139" s="7">
        <v>12</v>
      </c>
      <c r="G139" s="8">
        <f t="shared" si="12"/>
        <v>0.41414141414141414</v>
      </c>
      <c r="H139" s="8">
        <f t="shared" si="13"/>
        <v>0.48780487804878048</v>
      </c>
      <c r="I139" s="8">
        <f t="shared" si="14"/>
        <v>0.6</v>
      </c>
    </row>
    <row r="140" spans="1:9" ht="15" customHeight="1" x14ac:dyDescent="0.3">
      <c r="A140" s="6">
        <v>44180</v>
      </c>
      <c r="B140" s="7" t="s">
        <v>43</v>
      </c>
      <c r="C140" s="7">
        <v>128</v>
      </c>
      <c r="D140" s="7">
        <v>38</v>
      </c>
      <c r="E140" s="7">
        <v>20</v>
      </c>
      <c r="F140" s="7">
        <v>18</v>
      </c>
      <c r="G140" s="8">
        <f t="shared" si="12"/>
        <v>0.296875</v>
      </c>
      <c r="H140" s="8">
        <f t="shared" si="13"/>
        <v>0.52631578947368418</v>
      </c>
      <c r="I140" s="8">
        <f t="shared" si="14"/>
        <v>0.9</v>
      </c>
    </row>
    <row r="141" spans="1:9" ht="15" customHeight="1" x14ac:dyDescent="0.3">
      <c r="A141" s="6">
        <v>44181</v>
      </c>
      <c r="B141" s="7" t="s">
        <v>43</v>
      </c>
      <c r="C141" s="7">
        <v>124</v>
      </c>
      <c r="D141" s="7">
        <v>46</v>
      </c>
      <c r="E141" s="7">
        <v>26</v>
      </c>
      <c r="F141" s="7">
        <v>16</v>
      </c>
      <c r="G141" s="8">
        <f t="shared" si="12"/>
        <v>0.37096774193548387</v>
      </c>
      <c r="H141" s="8">
        <f t="shared" si="13"/>
        <v>0.56521739130434778</v>
      </c>
      <c r="I141" s="8">
        <f t="shared" si="14"/>
        <v>0.61538461538461542</v>
      </c>
    </row>
    <row r="142" spans="1:9" ht="15" customHeight="1" x14ac:dyDescent="0.3">
      <c r="A142" s="6">
        <v>44182</v>
      </c>
      <c r="B142" s="7" t="s">
        <v>43</v>
      </c>
      <c r="C142" s="7">
        <v>101</v>
      </c>
      <c r="D142" s="7">
        <v>33</v>
      </c>
      <c r="E142" s="7">
        <v>16</v>
      </c>
      <c r="F142" s="7">
        <v>11</v>
      </c>
      <c r="G142" s="8">
        <f t="shared" si="12"/>
        <v>0.32673267326732675</v>
      </c>
      <c r="H142" s="8">
        <f t="shared" si="13"/>
        <v>0.48484848484848486</v>
      </c>
      <c r="I142" s="8">
        <f t="shared" si="14"/>
        <v>0.6875</v>
      </c>
    </row>
    <row r="143" spans="1:9" ht="15" customHeight="1" x14ac:dyDescent="0.3">
      <c r="A143" s="6">
        <v>44183</v>
      </c>
      <c r="B143" s="7" t="s">
        <v>43</v>
      </c>
      <c r="C143" s="7">
        <v>87</v>
      </c>
      <c r="D143" s="7">
        <v>34</v>
      </c>
      <c r="E143" s="7">
        <v>14</v>
      </c>
      <c r="F143" s="7">
        <v>8</v>
      </c>
      <c r="G143" s="8">
        <f t="shared" si="12"/>
        <v>0.39080459770114945</v>
      </c>
      <c r="H143" s="8">
        <f t="shared" si="13"/>
        <v>0.41176470588235292</v>
      </c>
      <c r="I143" s="8">
        <f t="shared" si="14"/>
        <v>0.5714285714285714</v>
      </c>
    </row>
    <row r="144" spans="1:9" ht="15" customHeight="1" x14ac:dyDescent="0.3">
      <c r="A144" s="6">
        <v>44184</v>
      </c>
      <c r="B144" s="7" t="s">
        <v>43</v>
      </c>
      <c r="C144" s="7">
        <v>48</v>
      </c>
      <c r="D144" s="7">
        <v>8</v>
      </c>
      <c r="E144" s="7">
        <v>7</v>
      </c>
      <c r="F144" s="7">
        <v>2</v>
      </c>
      <c r="G144" s="8">
        <f t="shared" si="12"/>
        <v>0.16666666666666666</v>
      </c>
      <c r="H144" s="8">
        <f t="shared" si="13"/>
        <v>0.875</v>
      </c>
      <c r="I144" s="8">
        <f t="shared" si="14"/>
        <v>0.2857142857142857</v>
      </c>
    </row>
    <row r="145" spans="1:9" ht="15" customHeight="1" x14ac:dyDescent="0.3">
      <c r="A145" s="6">
        <v>44185</v>
      </c>
      <c r="B145" s="7" t="s">
        <v>43</v>
      </c>
      <c r="C145" s="7">
        <v>47</v>
      </c>
      <c r="D145" s="7">
        <v>18</v>
      </c>
      <c r="E145" s="7">
        <v>6</v>
      </c>
      <c r="F145" s="7">
        <v>2</v>
      </c>
      <c r="G145" s="8">
        <f t="shared" si="12"/>
        <v>0.38297872340425532</v>
      </c>
      <c r="H145" s="8">
        <f t="shared" si="13"/>
        <v>0.33333333333333331</v>
      </c>
      <c r="I145" s="8">
        <f t="shared" si="14"/>
        <v>0.33333333333333331</v>
      </c>
    </row>
    <row r="146" spans="1:9" ht="15" customHeight="1" x14ac:dyDescent="0.3">
      <c r="A146" s="6">
        <v>44186</v>
      </c>
      <c r="B146" s="7" t="s">
        <v>43</v>
      </c>
      <c r="C146" s="7">
        <v>75</v>
      </c>
      <c r="D146" s="7">
        <v>21</v>
      </c>
      <c r="E146" s="7">
        <v>6</v>
      </c>
      <c r="F146" s="7">
        <v>1</v>
      </c>
      <c r="G146" s="8">
        <f t="shared" si="12"/>
        <v>0.28000000000000003</v>
      </c>
      <c r="H146" s="8">
        <f t="shared" si="13"/>
        <v>0.2857142857142857</v>
      </c>
      <c r="I146" s="8">
        <f t="shared" si="14"/>
        <v>0.16666666666666666</v>
      </c>
    </row>
    <row r="147" spans="1:9" ht="15" customHeight="1" x14ac:dyDescent="0.3">
      <c r="A147" s="6">
        <v>44187</v>
      </c>
      <c r="B147" s="7" t="s">
        <v>43</v>
      </c>
      <c r="C147" s="7">
        <v>74</v>
      </c>
      <c r="D147" s="7">
        <v>14</v>
      </c>
      <c r="E147" s="7">
        <v>10</v>
      </c>
      <c r="F147" s="7">
        <v>9</v>
      </c>
      <c r="G147" s="8">
        <f t="shared" si="12"/>
        <v>0.1891891891891892</v>
      </c>
      <c r="H147" s="8">
        <f t="shared" si="13"/>
        <v>0.7142857142857143</v>
      </c>
      <c r="I147" s="8">
        <f t="shared" si="14"/>
        <v>0.9</v>
      </c>
    </row>
    <row r="148" spans="1:9" ht="15" customHeight="1" x14ac:dyDescent="0.3">
      <c r="A148" s="6">
        <v>44188</v>
      </c>
      <c r="B148" s="7" t="s">
        <v>43</v>
      </c>
      <c r="C148" s="7">
        <v>57</v>
      </c>
      <c r="D148" s="7">
        <v>19</v>
      </c>
      <c r="E148" s="7">
        <v>8</v>
      </c>
      <c r="F148" s="7">
        <v>6</v>
      </c>
      <c r="G148" s="8">
        <f t="shared" si="12"/>
        <v>0.33333333333333331</v>
      </c>
      <c r="H148" s="8">
        <f t="shared" si="13"/>
        <v>0.42105263157894735</v>
      </c>
      <c r="I148" s="8">
        <f t="shared" si="14"/>
        <v>0.75</v>
      </c>
    </row>
    <row r="149" spans="1:9" ht="15" customHeight="1" x14ac:dyDescent="0.3">
      <c r="A149" s="6">
        <v>44189</v>
      </c>
      <c r="B149" s="7" t="s">
        <v>43</v>
      </c>
      <c r="C149" s="7">
        <v>45</v>
      </c>
      <c r="D149" s="7">
        <v>10</v>
      </c>
      <c r="E149" s="7">
        <v>4</v>
      </c>
      <c r="F149" s="7">
        <v>2</v>
      </c>
      <c r="G149" s="8">
        <f t="shared" si="12"/>
        <v>0.22222222222222221</v>
      </c>
      <c r="H149" s="8">
        <f t="shared" si="13"/>
        <v>0.4</v>
      </c>
      <c r="I149" s="8">
        <f t="shared" si="14"/>
        <v>0.5</v>
      </c>
    </row>
    <row r="150" spans="1:9" ht="15" customHeight="1" x14ac:dyDescent="0.3">
      <c r="A150" s="6">
        <v>44190</v>
      </c>
      <c r="B150" s="7" t="s">
        <v>43</v>
      </c>
      <c r="C150" s="7">
        <v>26</v>
      </c>
      <c r="D150" s="7">
        <v>6</v>
      </c>
      <c r="E150" s="7">
        <v>3</v>
      </c>
      <c r="F150" s="7">
        <v>2</v>
      </c>
      <c r="G150" s="8">
        <f t="shared" si="12"/>
        <v>0.23076923076923078</v>
      </c>
      <c r="H150" s="8">
        <f t="shared" si="13"/>
        <v>0.5</v>
      </c>
      <c r="I150" s="8">
        <f t="shared" si="14"/>
        <v>0.66666666666666663</v>
      </c>
    </row>
    <row r="151" spans="1:9" ht="15" customHeight="1" x14ac:dyDescent="0.3">
      <c r="A151" s="6">
        <v>44191</v>
      </c>
      <c r="B151" s="7" t="s">
        <v>43</v>
      </c>
      <c r="C151" s="7">
        <v>28</v>
      </c>
      <c r="D151" s="7">
        <v>6</v>
      </c>
      <c r="E151" s="7">
        <v>4</v>
      </c>
      <c r="F151" s="7">
        <v>2</v>
      </c>
      <c r="G151" s="8">
        <f t="shared" si="12"/>
        <v>0.21428571428571427</v>
      </c>
      <c r="H151" s="8">
        <f t="shared" si="13"/>
        <v>0.66666666666666663</v>
      </c>
      <c r="I151" s="8">
        <f t="shared" si="14"/>
        <v>0.5</v>
      </c>
    </row>
    <row r="152" spans="1:9" ht="15" customHeight="1" x14ac:dyDescent="0.3">
      <c r="A152" s="6">
        <v>44192</v>
      </c>
      <c r="B152" s="7" t="s">
        <v>43</v>
      </c>
      <c r="C152" s="7">
        <v>24</v>
      </c>
      <c r="D152" s="7">
        <v>5</v>
      </c>
      <c r="E152" s="7">
        <v>4</v>
      </c>
      <c r="F152" s="7">
        <v>3</v>
      </c>
      <c r="G152" s="8">
        <f t="shared" si="12"/>
        <v>0.20833333333333334</v>
      </c>
      <c r="H152" s="8">
        <f t="shared" si="13"/>
        <v>0.8</v>
      </c>
      <c r="I152" s="8">
        <f t="shared" si="14"/>
        <v>0.75</v>
      </c>
    </row>
    <row r="153" spans="1:9" ht="15" customHeight="1" x14ac:dyDescent="0.3">
      <c r="A153" s="6">
        <v>44193</v>
      </c>
      <c r="B153" s="7" t="s">
        <v>43</v>
      </c>
      <c r="C153" s="7">
        <v>33</v>
      </c>
      <c r="D153" s="7">
        <v>8</v>
      </c>
      <c r="E153" s="7">
        <v>2</v>
      </c>
      <c r="F153" s="7">
        <v>2</v>
      </c>
      <c r="G153" s="8">
        <f t="shared" si="12"/>
        <v>0.24242424242424243</v>
      </c>
      <c r="H153" s="8">
        <f t="shared" si="13"/>
        <v>0.25</v>
      </c>
      <c r="I153" s="8">
        <f t="shared" si="14"/>
        <v>1</v>
      </c>
    </row>
    <row r="154" spans="1:9" ht="15" customHeight="1" x14ac:dyDescent="0.3">
      <c r="A154" s="6">
        <v>44194</v>
      </c>
      <c r="B154" s="7" t="s">
        <v>43</v>
      </c>
      <c r="C154" s="7">
        <v>42</v>
      </c>
      <c r="D154" s="7">
        <v>17</v>
      </c>
      <c r="E154" s="7">
        <v>8</v>
      </c>
      <c r="F154" s="7">
        <v>4</v>
      </c>
      <c r="G154" s="8">
        <f t="shared" si="12"/>
        <v>0.40476190476190477</v>
      </c>
      <c r="H154" s="8">
        <f t="shared" si="13"/>
        <v>0.47058823529411764</v>
      </c>
      <c r="I154" s="8">
        <f t="shared" si="14"/>
        <v>0.5</v>
      </c>
    </row>
    <row r="155" spans="1:9" ht="15" customHeight="1" x14ac:dyDescent="0.3">
      <c r="A155" s="6">
        <v>44195</v>
      </c>
      <c r="B155" s="7" t="s">
        <v>43</v>
      </c>
      <c r="C155" s="7">
        <v>47</v>
      </c>
      <c r="D155" s="7">
        <v>12</v>
      </c>
      <c r="E155" s="7">
        <v>7</v>
      </c>
      <c r="F155" s="7">
        <v>4</v>
      </c>
      <c r="G155" s="8">
        <f t="shared" si="12"/>
        <v>0.25531914893617019</v>
      </c>
      <c r="H155" s="8">
        <f t="shared" si="13"/>
        <v>0.58333333333333337</v>
      </c>
      <c r="I155" s="8">
        <f t="shared" si="14"/>
        <v>0.5714285714285714</v>
      </c>
    </row>
    <row r="156" spans="1:9" ht="15" customHeight="1" x14ac:dyDescent="0.3">
      <c r="A156" s="6">
        <v>44196</v>
      </c>
      <c r="B156" s="7" t="s">
        <v>43</v>
      </c>
      <c r="C156" s="7">
        <v>29</v>
      </c>
      <c r="D156" s="7">
        <v>13</v>
      </c>
      <c r="E156" s="7">
        <v>5</v>
      </c>
      <c r="F156" s="7">
        <v>3</v>
      </c>
      <c r="G156" s="8">
        <f t="shared" si="12"/>
        <v>0.44827586206896552</v>
      </c>
      <c r="H156" s="8">
        <f t="shared" si="13"/>
        <v>0.38461538461538464</v>
      </c>
      <c r="I156" s="8">
        <f t="shared" si="14"/>
        <v>0.6</v>
      </c>
    </row>
    <row r="159" spans="1:9" ht="15" customHeight="1" x14ac:dyDescent="0.3">
      <c r="A159" s="9" t="s">
        <v>49</v>
      </c>
    </row>
    <row r="160" spans="1:9" ht="15" customHeight="1" x14ac:dyDescent="0.3">
      <c r="A160" s="5" t="s">
        <v>35</v>
      </c>
      <c r="B160" s="5" t="s">
        <v>45</v>
      </c>
      <c r="C160" s="5" t="s">
        <v>46</v>
      </c>
      <c r="D160" s="5" t="s">
        <v>47</v>
      </c>
      <c r="E160" s="5" t="s">
        <v>48</v>
      </c>
      <c r="F160" s="5" t="s">
        <v>18</v>
      </c>
      <c r="G160" s="5" t="s">
        <v>20</v>
      </c>
      <c r="H160" s="5" t="s">
        <v>22</v>
      </c>
    </row>
    <row r="161" spans="1:8" ht="15" customHeight="1" x14ac:dyDescent="0.3">
      <c r="A161" s="7" t="s">
        <v>44</v>
      </c>
      <c r="B161" s="7">
        <f>SUMIF($B$2:$B$156,A161,C$2:C$156)</f>
        <v>2105</v>
      </c>
      <c r="C161" s="7">
        <f>SUMIF($B$2:$B$156,A161,D$2:D$156)</f>
        <v>820</v>
      </c>
      <c r="D161" s="7">
        <f>SUMIF($B$2:$B$156,A161,E$2:E$156)</f>
        <v>480</v>
      </c>
      <c r="E161" s="7">
        <f>SUMIF($B$2:$B$156,A161,F$2:F$156)</f>
        <v>308</v>
      </c>
      <c r="F161" s="8">
        <f t="shared" ref="F161:H165" si="15">IFERROR(C161/B161,0)</f>
        <v>0.38954869358669836</v>
      </c>
      <c r="G161" s="8">
        <f t="shared" si="15"/>
        <v>0.58536585365853655</v>
      </c>
      <c r="H161" s="8">
        <f t="shared" si="15"/>
        <v>0.64166666666666672</v>
      </c>
    </row>
    <row r="162" spans="1:8" ht="15" customHeight="1" x14ac:dyDescent="0.3">
      <c r="A162" s="7" t="s">
        <v>42</v>
      </c>
      <c r="B162" s="7">
        <f>SUMIF($B$2:$B$156,A162,C$2:C$156)</f>
        <v>6376</v>
      </c>
      <c r="C162" s="7">
        <f>SUMIF($B$2:$B$156,A162,D$2:D$156)</f>
        <v>1962</v>
      </c>
      <c r="D162" s="7">
        <f>SUMIF($B$2:$B$156,A162,E$2:E$156)</f>
        <v>1010</v>
      </c>
      <c r="E162" s="7">
        <f>SUMIF($B$2:$B$156,A162,F$2:F$156)</f>
        <v>472</v>
      </c>
      <c r="F162" s="8">
        <f t="shared" si="15"/>
        <v>0.30771643663739023</v>
      </c>
      <c r="G162" s="8">
        <f t="shared" si="15"/>
        <v>0.51478083588175327</v>
      </c>
      <c r="H162" s="8">
        <f t="shared" si="15"/>
        <v>0.46732673267326735</v>
      </c>
    </row>
    <row r="163" spans="1:8" ht="15" customHeight="1" x14ac:dyDescent="0.3">
      <c r="A163" s="7" t="s">
        <v>41</v>
      </c>
      <c r="B163" s="7">
        <f>SUMIF($B$2:$B$156,A163,C$2:C$156)</f>
        <v>25214</v>
      </c>
      <c r="C163" s="7">
        <f>SUMIF($B$2:$B$156,A163,D$2:D$156)</f>
        <v>7561</v>
      </c>
      <c r="D163" s="7">
        <f>SUMIF($B$2:$B$156,A163,E$2:E$156)</f>
        <v>3879</v>
      </c>
      <c r="E163" s="7">
        <f>SUMIF($B$2:$B$156,A163,F$2:F$156)</f>
        <v>1853</v>
      </c>
      <c r="F163" s="8">
        <f t="shared" si="15"/>
        <v>0.29987308638058224</v>
      </c>
      <c r="G163" s="8">
        <f t="shared" si="15"/>
        <v>0.51302737733104087</v>
      </c>
      <c r="H163" s="8">
        <f t="shared" si="15"/>
        <v>0.47770043825728281</v>
      </c>
    </row>
    <row r="164" spans="1:8" ht="15" customHeight="1" x14ac:dyDescent="0.3">
      <c r="A164" s="7" t="s">
        <v>40</v>
      </c>
      <c r="B164" s="7">
        <f>SUMIF($B$2:$B$156,A164,C$2:C$156)</f>
        <v>9560</v>
      </c>
      <c r="C164" s="7">
        <f>SUMIF($B$2:$B$156,A164,D$2:D$156)</f>
        <v>2719</v>
      </c>
      <c r="D164" s="7">
        <f>SUMIF($B$2:$B$156,A164,E$2:E$156)</f>
        <v>1372</v>
      </c>
      <c r="E164" s="7">
        <f>SUMIF($B$2:$B$156,A164,F$2:F$156)</f>
        <v>621</v>
      </c>
      <c r="F164" s="8">
        <f t="shared" si="15"/>
        <v>0.28441422594142257</v>
      </c>
      <c r="G164" s="8">
        <f t="shared" si="15"/>
        <v>0.50459727841118063</v>
      </c>
      <c r="H164" s="8">
        <f t="shared" si="15"/>
        <v>0.45262390670553937</v>
      </c>
    </row>
    <row r="165" spans="1:8" ht="15" customHeight="1" x14ac:dyDescent="0.3">
      <c r="A165" s="7" t="s">
        <v>43</v>
      </c>
      <c r="B165" s="7">
        <f>SUMIF($B$2:$B$156,A165,C$2:C$156)</f>
        <v>2404</v>
      </c>
      <c r="C165" s="7">
        <f>SUMIF($B$2:$B$156,A165,D$2:D$156)</f>
        <v>807</v>
      </c>
      <c r="D165" s="7">
        <f>SUMIF($B$2:$B$156,A165,E$2:E$156)</f>
        <v>452</v>
      </c>
      <c r="E165" s="7">
        <f>SUMIF($B$2:$B$156,A165,F$2:F$156)</f>
        <v>256</v>
      </c>
      <c r="F165" s="8">
        <f t="shared" si="15"/>
        <v>0.33569051580698833</v>
      </c>
      <c r="G165" s="8">
        <f t="shared" si="15"/>
        <v>0.5600991325898389</v>
      </c>
      <c r="H165" s="8">
        <f t="shared" si="15"/>
        <v>0.5663716814159292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zoomScaleNormal="100" workbookViewId="0">
      <selection activeCell="E22" sqref="E22"/>
    </sheetView>
  </sheetViews>
  <sheetFormatPr defaultColWidth="8.6640625" defaultRowHeight="14.4" x14ac:dyDescent="0.3"/>
  <cols>
    <col min="1" max="1" width="14" customWidth="1"/>
    <col min="2" max="3" width="16" customWidth="1"/>
    <col min="4" max="5" width="22" customWidth="1"/>
  </cols>
  <sheetData>
    <row r="1" spans="1:5" s="17" customFormat="1" ht="15" customHeight="1" x14ac:dyDescent="0.3">
      <c r="A1" s="16" t="s">
        <v>50</v>
      </c>
      <c r="B1" s="16" t="s">
        <v>51</v>
      </c>
      <c r="C1" s="16" t="s">
        <v>52</v>
      </c>
      <c r="D1" s="16" t="s">
        <v>24</v>
      </c>
      <c r="E1" s="16" t="s">
        <v>53</v>
      </c>
    </row>
    <row r="2" spans="1:5" ht="15" customHeight="1" x14ac:dyDescent="0.3">
      <c r="A2" s="6">
        <v>44136</v>
      </c>
      <c r="B2" s="7">
        <v>832</v>
      </c>
      <c r="C2" s="7">
        <v>224</v>
      </c>
      <c r="D2" s="8">
        <f t="shared" ref="D2:D15" si="0">C2/B2</f>
        <v>0.26923076923076922</v>
      </c>
      <c r="E2" s="7"/>
    </row>
    <row r="3" spans="1:5" ht="15" customHeight="1" x14ac:dyDescent="0.3">
      <c r="A3" s="6">
        <v>44143</v>
      </c>
      <c r="B3" s="7">
        <v>993</v>
      </c>
      <c r="C3" s="7">
        <v>336</v>
      </c>
      <c r="D3" s="8">
        <f t="shared" si="0"/>
        <v>0.33836858006042297</v>
      </c>
      <c r="E3" s="12">
        <f t="shared" ref="E3:E15" si="1">(D3-D2)*100</f>
        <v>6.9137810829653752</v>
      </c>
    </row>
    <row r="4" spans="1:5" ht="15" customHeight="1" x14ac:dyDescent="0.3">
      <c r="A4" s="6">
        <v>44150</v>
      </c>
      <c r="B4" s="7">
        <v>985</v>
      </c>
      <c r="C4" s="7">
        <v>354</v>
      </c>
      <c r="D4" s="8">
        <f t="shared" si="0"/>
        <v>0.35939086294416245</v>
      </c>
      <c r="E4" s="12">
        <f t="shared" si="1"/>
        <v>2.1022282883739472</v>
      </c>
    </row>
    <row r="5" spans="1:5" ht="15" customHeight="1" x14ac:dyDescent="0.3">
      <c r="A5" s="6">
        <v>44157</v>
      </c>
      <c r="B5" s="7">
        <v>1185</v>
      </c>
      <c r="C5" s="7">
        <v>478</v>
      </c>
      <c r="D5" s="8">
        <f t="shared" si="0"/>
        <v>0.40337552742616034</v>
      </c>
      <c r="E5" s="12">
        <f t="shared" si="1"/>
        <v>4.3984664481997893</v>
      </c>
    </row>
    <row r="6" spans="1:5" ht="15" customHeight="1" x14ac:dyDescent="0.3">
      <c r="A6" s="6">
        <v>44164</v>
      </c>
      <c r="B6" s="7">
        <v>1294</v>
      </c>
      <c r="C6" s="7">
        <v>579</v>
      </c>
      <c r="D6" s="8">
        <f t="shared" si="0"/>
        <v>0.44744976816074189</v>
      </c>
      <c r="E6" s="12">
        <f t="shared" si="1"/>
        <v>4.4074240734581549</v>
      </c>
    </row>
    <row r="7" spans="1:5" ht="15" customHeight="1" x14ac:dyDescent="0.3">
      <c r="A7" s="6">
        <v>44171</v>
      </c>
      <c r="B7" s="7">
        <v>1453</v>
      </c>
      <c r="C7" s="7">
        <v>719</v>
      </c>
      <c r="D7" s="8">
        <f t="shared" si="0"/>
        <v>0.49483826565726086</v>
      </c>
      <c r="E7" s="12">
        <f t="shared" si="1"/>
        <v>4.7388497496518962</v>
      </c>
    </row>
    <row r="8" spans="1:5" ht="15" customHeight="1" x14ac:dyDescent="0.3">
      <c r="A8" s="6">
        <v>44178</v>
      </c>
      <c r="B8" s="7">
        <v>993</v>
      </c>
      <c r="C8" s="7">
        <v>567</v>
      </c>
      <c r="D8" s="8">
        <f t="shared" si="0"/>
        <v>0.57099697885196377</v>
      </c>
      <c r="E8" s="12">
        <f t="shared" si="1"/>
        <v>7.6158713194702905</v>
      </c>
    </row>
    <row r="9" spans="1:5" ht="15" customHeight="1" x14ac:dyDescent="0.3">
      <c r="A9" s="6">
        <v>44185</v>
      </c>
      <c r="B9" s="7">
        <v>410</v>
      </c>
      <c r="C9" s="7">
        <v>229</v>
      </c>
      <c r="D9" s="8">
        <f t="shared" si="0"/>
        <v>0.55853658536585371</v>
      </c>
      <c r="E9" s="12">
        <f t="shared" si="1"/>
        <v>-1.2460393486110055</v>
      </c>
    </row>
    <row r="10" spans="1:5" ht="15" customHeight="1" x14ac:dyDescent="0.3">
      <c r="A10" s="6">
        <v>44192</v>
      </c>
      <c r="B10" s="7">
        <v>253</v>
      </c>
      <c r="C10" s="7">
        <v>142</v>
      </c>
      <c r="D10" s="8">
        <f t="shared" si="0"/>
        <v>0.56126482213438733</v>
      </c>
      <c r="E10" s="12">
        <f t="shared" si="1"/>
        <v>0.27282367685336206</v>
      </c>
    </row>
    <row r="11" spans="1:5" ht="15" customHeight="1" x14ac:dyDescent="0.3">
      <c r="A11" s="6">
        <v>44199</v>
      </c>
      <c r="B11" s="7">
        <v>322</v>
      </c>
      <c r="C11" s="7">
        <v>161</v>
      </c>
      <c r="D11" s="8">
        <f t="shared" si="0"/>
        <v>0.5</v>
      </c>
      <c r="E11" s="12">
        <f t="shared" si="1"/>
        <v>-6.1264822134387327</v>
      </c>
    </row>
    <row r="12" spans="1:5" ht="15" customHeight="1" x14ac:dyDescent="0.3">
      <c r="A12" s="6">
        <v>44206</v>
      </c>
      <c r="B12" s="7">
        <v>428</v>
      </c>
      <c r="C12" s="7">
        <v>224</v>
      </c>
      <c r="D12" s="8">
        <f t="shared" si="0"/>
        <v>0.52336448598130836</v>
      </c>
      <c r="E12" s="12">
        <f t="shared" si="1"/>
        <v>2.3364485981308358</v>
      </c>
    </row>
    <row r="13" spans="1:5" ht="15" customHeight="1" x14ac:dyDescent="0.3">
      <c r="A13" s="6">
        <v>44213</v>
      </c>
      <c r="B13" s="7">
        <v>584</v>
      </c>
      <c r="C13" s="7">
        <v>346</v>
      </c>
      <c r="D13" s="8">
        <f t="shared" si="0"/>
        <v>0.59246575342465757</v>
      </c>
      <c r="E13" s="12">
        <f t="shared" si="1"/>
        <v>6.9101267443349208</v>
      </c>
    </row>
    <row r="14" spans="1:5" ht="15" customHeight="1" x14ac:dyDescent="0.3">
      <c r="A14" s="6">
        <v>44220</v>
      </c>
      <c r="B14" s="7">
        <v>555</v>
      </c>
      <c r="C14" s="7">
        <v>324</v>
      </c>
      <c r="D14" s="8">
        <f t="shared" si="0"/>
        <v>0.58378378378378382</v>
      </c>
      <c r="E14" s="12">
        <f t="shared" si="1"/>
        <v>-0.86819696408737546</v>
      </c>
    </row>
    <row r="15" spans="1:5" ht="15" customHeight="1" x14ac:dyDescent="0.3">
      <c r="A15" s="6">
        <v>44227</v>
      </c>
      <c r="B15" s="7">
        <v>54</v>
      </c>
      <c r="C15" s="7">
        <v>17</v>
      </c>
      <c r="D15" s="8">
        <f t="shared" si="0"/>
        <v>0.31481481481481483</v>
      </c>
      <c r="E15" s="12">
        <f t="shared" si="1"/>
        <v>-26.896896896896898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zoomScaleNormal="100" workbookViewId="0">
      <selection activeCell="L17" sqref="L17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0" customWidth="1"/>
    <col min="4" max="4" width="12" customWidth="1"/>
    <col min="5" max="5" width="18" customWidth="1"/>
    <col min="6" max="6" width="12" customWidth="1"/>
    <col min="7" max="7" width="10" customWidth="1"/>
    <col min="8" max="8" width="20.77734375" customWidth="1"/>
    <col min="9" max="9" width="18.33203125" customWidth="1"/>
    <col min="10" max="10" width="15.88671875" customWidth="1"/>
    <col min="11" max="11" width="16" customWidth="1"/>
    <col min="12" max="12" width="22" customWidth="1"/>
  </cols>
  <sheetData>
    <row r="1" spans="1:12" ht="39.75" customHeight="1" x14ac:dyDescent="0.3">
      <c r="A1" s="15" t="s">
        <v>54</v>
      </c>
      <c r="B1" s="30" t="s">
        <v>79</v>
      </c>
      <c r="C1" s="31"/>
      <c r="D1" s="31"/>
      <c r="E1" s="31"/>
      <c r="F1" s="31"/>
      <c r="G1" s="31"/>
      <c r="H1" s="31"/>
    </row>
    <row r="3" spans="1:12" s="17" customFormat="1" x14ac:dyDescent="0.3">
      <c r="A3" s="16" t="s">
        <v>55</v>
      </c>
      <c r="B3" s="16" t="s">
        <v>56</v>
      </c>
      <c r="C3" s="16" t="s">
        <v>57</v>
      </c>
      <c r="D3" s="16" t="s">
        <v>58</v>
      </c>
      <c r="E3" s="16" t="s">
        <v>59</v>
      </c>
      <c r="F3" s="16" t="s">
        <v>60</v>
      </c>
      <c r="G3" s="16" t="s">
        <v>61</v>
      </c>
      <c r="H3" s="16" t="s">
        <v>62</v>
      </c>
      <c r="I3" s="16" t="s">
        <v>63</v>
      </c>
      <c r="J3" s="16" t="s">
        <v>64</v>
      </c>
      <c r="K3" s="16" t="s">
        <v>65</v>
      </c>
      <c r="L3" s="16" t="s">
        <v>66</v>
      </c>
    </row>
    <row r="4" spans="1:12" x14ac:dyDescent="0.3">
      <c r="A4" s="7" t="s">
        <v>67</v>
      </c>
      <c r="B4" s="7">
        <v>69902476</v>
      </c>
      <c r="C4" s="7">
        <v>9577</v>
      </c>
      <c r="D4" s="7">
        <v>1050</v>
      </c>
      <c r="E4" s="7">
        <v>378</v>
      </c>
      <c r="F4" s="13">
        <v>16577.16</v>
      </c>
      <c r="G4" s="14">
        <f t="shared" ref="G4:I6" si="0">C4/B4</f>
        <v>1.3700516130501586E-4</v>
      </c>
      <c r="H4" s="8">
        <f t="shared" si="0"/>
        <v>0.1096376735929832</v>
      </c>
      <c r="I4" s="8">
        <f t="shared" si="0"/>
        <v>0.36</v>
      </c>
      <c r="J4" s="13">
        <f>F4/C4</f>
        <v>1.7309345306463402</v>
      </c>
      <c r="K4" s="13">
        <f>F4/D4</f>
        <v>15.787771428571428</v>
      </c>
      <c r="L4" s="13">
        <f>F4/E4</f>
        <v>43.854920634920632</v>
      </c>
    </row>
    <row r="5" spans="1:12" x14ac:dyDescent="0.3">
      <c r="A5" s="7" t="s">
        <v>68</v>
      </c>
      <c r="B5" s="7">
        <v>482925</v>
      </c>
      <c r="C5" s="7">
        <v>113</v>
      </c>
      <c r="D5" s="7">
        <v>58</v>
      </c>
      <c r="E5" s="7">
        <v>24</v>
      </c>
      <c r="F5" s="13">
        <v>149.71</v>
      </c>
      <c r="G5" s="14">
        <f t="shared" si="0"/>
        <v>2.3399078531863125E-4</v>
      </c>
      <c r="H5" s="8">
        <f t="shared" si="0"/>
        <v>0.51327433628318586</v>
      </c>
      <c r="I5" s="8">
        <f t="shared" si="0"/>
        <v>0.41379310344827586</v>
      </c>
      <c r="J5" s="13">
        <f>F5/C5</f>
        <v>1.3248672566371682</v>
      </c>
      <c r="K5" s="13">
        <f>F5/D5</f>
        <v>2.5812068965517243</v>
      </c>
      <c r="L5" s="13">
        <f>F5/E5</f>
        <v>6.237916666666667</v>
      </c>
    </row>
    <row r="6" spans="1:12" x14ac:dyDescent="0.3">
      <c r="A6" s="7" t="s">
        <v>69</v>
      </c>
      <c r="B6" s="7">
        <v>8128187</v>
      </c>
      <c r="C6" s="7">
        <v>1984</v>
      </c>
      <c r="D6" s="7">
        <v>537</v>
      </c>
      <c r="E6" s="7">
        <v>183</v>
      </c>
      <c r="F6" s="13">
        <v>2893.37</v>
      </c>
      <c r="G6" s="14">
        <f t="shared" si="0"/>
        <v>2.4408887246319506E-4</v>
      </c>
      <c r="H6" s="8">
        <f t="shared" si="0"/>
        <v>0.27066532258064518</v>
      </c>
      <c r="I6" s="8">
        <f t="shared" si="0"/>
        <v>0.34078212290502791</v>
      </c>
      <c r="J6" s="13">
        <f>F6/C6</f>
        <v>1.4583518145161289</v>
      </c>
      <c r="K6" s="13">
        <f>F6/D6</f>
        <v>5.3880260707635008</v>
      </c>
      <c r="L6" s="13">
        <f>F6/E6</f>
        <v>15.810765027322404</v>
      </c>
    </row>
    <row r="14" spans="1:12" s="18" customFormat="1" ht="79.2" customHeight="1" x14ac:dyDescent="0.2">
      <c r="A14" s="32" t="s">
        <v>70</v>
      </c>
      <c r="B14" s="33"/>
      <c r="C14" s="33"/>
    </row>
  </sheetData>
  <mergeCells count="2">
    <mergeCell ref="B1:H1"/>
    <mergeCell ref="A14:C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"/>
  <sheetViews>
    <sheetView zoomScaleNormal="100" workbookViewId="0">
      <selection activeCell="G2" sqref="G2"/>
    </sheetView>
  </sheetViews>
  <sheetFormatPr defaultColWidth="8.6640625" defaultRowHeight="14.4" x14ac:dyDescent="0.3"/>
  <cols>
    <col min="1" max="2" width="10" customWidth="1"/>
    <col min="3" max="3" width="14" customWidth="1"/>
    <col min="4" max="4" width="10" customWidth="1"/>
    <col min="5" max="5" width="12" customWidth="1"/>
    <col min="6" max="6" width="18" customWidth="1"/>
    <col min="7" max="7" width="12" customWidth="1"/>
    <col min="8" max="8" width="10" customWidth="1"/>
    <col min="9" max="9" width="14" customWidth="1"/>
    <col min="10" max="10" width="20" customWidth="1"/>
  </cols>
  <sheetData>
    <row r="1" spans="1:10" s="17" customFormat="1" x14ac:dyDescent="0.3">
      <c r="A1" s="16" t="s">
        <v>71</v>
      </c>
      <c r="B1" s="16" t="s">
        <v>72</v>
      </c>
      <c r="C1" s="16" t="s">
        <v>56</v>
      </c>
      <c r="D1" s="16" t="s">
        <v>57</v>
      </c>
      <c r="E1" s="16" t="s">
        <v>58</v>
      </c>
      <c r="F1" s="16" t="s">
        <v>59</v>
      </c>
      <c r="G1" s="16" t="s">
        <v>60</v>
      </c>
      <c r="H1" s="16" t="s">
        <v>61</v>
      </c>
      <c r="I1" s="16" t="s">
        <v>62</v>
      </c>
      <c r="J1" s="16" t="s">
        <v>66</v>
      </c>
    </row>
    <row r="2" spans="1:10" x14ac:dyDescent="0.3">
      <c r="A2" s="7" t="s">
        <v>73</v>
      </c>
      <c r="B2" s="7" t="s">
        <v>74</v>
      </c>
      <c r="C2" s="7">
        <v>1149027</v>
      </c>
      <c r="D2" s="7">
        <v>222</v>
      </c>
      <c r="E2" s="7">
        <v>121</v>
      </c>
      <c r="F2" s="7">
        <v>43</v>
      </c>
      <c r="G2" s="13">
        <v>301.92</v>
      </c>
      <c r="H2" s="14">
        <f t="shared" ref="H2:I9" si="0">D2/C2</f>
        <v>1.9320694813959987E-4</v>
      </c>
      <c r="I2" s="8">
        <f t="shared" si="0"/>
        <v>0.54504504504504503</v>
      </c>
      <c r="J2" s="13">
        <f t="shared" ref="J2:J9" si="1">G2/F2</f>
        <v>7.0213953488372098</v>
      </c>
    </row>
    <row r="3" spans="1:10" x14ac:dyDescent="0.3">
      <c r="A3" s="7" t="s">
        <v>73</v>
      </c>
      <c r="B3" s="7" t="s">
        <v>75</v>
      </c>
      <c r="C3" s="7">
        <v>34529566</v>
      </c>
      <c r="D3" s="7">
        <v>4211</v>
      </c>
      <c r="E3" s="7">
        <v>769</v>
      </c>
      <c r="F3" s="7">
        <v>285</v>
      </c>
      <c r="G3" s="13">
        <v>7391.3</v>
      </c>
      <c r="H3" s="14">
        <f t="shared" si="0"/>
        <v>1.2195345866785583E-4</v>
      </c>
      <c r="I3" s="8">
        <f t="shared" si="0"/>
        <v>0.18261695559249586</v>
      </c>
      <c r="J3" s="13">
        <f t="shared" si="1"/>
        <v>25.934385964912281</v>
      </c>
    </row>
    <row r="4" spans="1:10" x14ac:dyDescent="0.3">
      <c r="A4" s="7" t="s">
        <v>76</v>
      </c>
      <c r="B4" s="7" t="s">
        <v>74</v>
      </c>
      <c r="C4" s="7">
        <v>879437</v>
      </c>
      <c r="D4" s="7">
        <v>232</v>
      </c>
      <c r="E4" s="7">
        <v>57</v>
      </c>
      <c r="F4" s="7">
        <v>23</v>
      </c>
      <c r="G4" s="13">
        <v>323.41000000000003</v>
      </c>
      <c r="H4" s="14">
        <f t="shared" si="0"/>
        <v>2.6380513896959076E-4</v>
      </c>
      <c r="I4" s="8">
        <f t="shared" si="0"/>
        <v>0.24568965517241378</v>
      </c>
      <c r="J4" s="13">
        <f t="shared" si="1"/>
        <v>14.061304347826088</v>
      </c>
    </row>
    <row r="5" spans="1:10" x14ac:dyDescent="0.3">
      <c r="A5" s="7" t="s">
        <v>76</v>
      </c>
      <c r="B5" s="7" t="s">
        <v>75</v>
      </c>
      <c r="C5" s="7">
        <v>19285940</v>
      </c>
      <c r="D5" s="7">
        <v>2773</v>
      </c>
      <c r="E5" s="7">
        <v>300</v>
      </c>
      <c r="F5" s="7">
        <v>106</v>
      </c>
      <c r="G5" s="13">
        <v>4822.1099999999997</v>
      </c>
      <c r="H5" s="14">
        <f t="shared" si="0"/>
        <v>1.4378350238567579E-4</v>
      </c>
      <c r="I5" s="8">
        <f t="shared" si="0"/>
        <v>0.10818608005769924</v>
      </c>
      <c r="J5" s="13">
        <f t="shared" si="1"/>
        <v>45.491603773584906</v>
      </c>
    </row>
    <row r="6" spans="1:10" x14ac:dyDescent="0.3">
      <c r="A6" s="7" t="s">
        <v>77</v>
      </c>
      <c r="B6" s="7" t="s">
        <v>74</v>
      </c>
      <c r="C6" s="7">
        <v>973219</v>
      </c>
      <c r="D6" s="7">
        <v>258</v>
      </c>
      <c r="E6" s="7">
        <v>53</v>
      </c>
      <c r="F6" s="7">
        <v>13</v>
      </c>
      <c r="G6" s="13">
        <v>376.84</v>
      </c>
      <c r="H6" s="14">
        <f t="shared" si="0"/>
        <v>2.6509963327884064E-4</v>
      </c>
      <c r="I6" s="8">
        <f t="shared" si="0"/>
        <v>0.20542635658914729</v>
      </c>
      <c r="J6" s="13">
        <f t="shared" si="1"/>
        <v>28.987692307692306</v>
      </c>
    </row>
    <row r="7" spans="1:10" x14ac:dyDescent="0.3">
      <c r="A7" s="7" t="s">
        <v>77</v>
      </c>
      <c r="B7" s="7" t="s">
        <v>75</v>
      </c>
      <c r="C7" s="7">
        <v>14908370</v>
      </c>
      <c r="D7" s="7">
        <v>2402</v>
      </c>
      <c r="E7" s="7">
        <v>182</v>
      </c>
      <c r="F7" s="7">
        <v>69</v>
      </c>
      <c r="G7" s="13">
        <v>3960.79</v>
      </c>
      <c r="H7" s="14">
        <f t="shared" si="0"/>
        <v>1.6111754672039935E-4</v>
      </c>
      <c r="I7" s="8">
        <f t="shared" si="0"/>
        <v>7.5770191507077436E-2</v>
      </c>
      <c r="J7" s="13">
        <f t="shared" si="1"/>
        <v>57.402753623188403</v>
      </c>
    </row>
    <row r="8" spans="1:10" x14ac:dyDescent="0.3">
      <c r="A8" s="7" t="s">
        <v>78</v>
      </c>
      <c r="B8" s="7" t="s">
        <v>74</v>
      </c>
      <c r="C8" s="7">
        <v>3485604</v>
      </c>
      <c r="D8" s="7">
        <v>973</v>
      </c>
      <c r="E8" s="7">
        <v>91</v>
      </c>
      <c r="F8" s="7">
        <v>25</v>
      </c>
      <c r="G8" s="13">
        <v>1448.04</v>
      </c>
      <c r="H8" s="14">
        <f t="shared" si="0"/>
        <v>2.791481763275461E-4</v>
      </c>
      <c r="I8" s="8">
        <f t="shared" si="0"/>
        <v>9.3525179856115109E-2</v>
      </c>
      <c r="J8" s="13">
        <f t="shared" si="1"/>
        <v>57.921599999999998</v>
      </c>
    </row>
    <row r="9" spans="1:10" x14ac:dyDescent="0.3">
      <c r="A9" s="7" t="s">
        <v>78</v>
      </c>
      <c r="B9" s="7" t="s">
        <v>75</v>
      </c>
      <c r="C9" s="7">
        <v>3302425</v>
      </c>
      <c r="D9" s="7">
        <v>603</v>
      </c>
      <c r="E9" s="7">
        <v>72</v>
      </c>
      <c r="F9" s="7">
        <v>21</v>
      </c>
      <c r="G9" s="13">
        <v>995.83</v>
      </c>
      <c r="H9" s="14">
        <f t="shared" si="0"/>
        <v>1.8259309446845879E-4</v>
      </c>
      <c r="I9" s="8">
        <f t="shared" si="0"/>
        <v>0.11940298507462686</v>
      </c>
      <c r="J9" s="13">
        <f t="shared" si="1"/>
        <v>47.420476190476194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Trend</vt:lpstr>
      <vt:lpstr>Period Comparison</vt:lpstr>
      <vt:lpstr>Channel Breakdown</vt:lpstr>
      <vt:lpstr>Funnel</vt:lpstr>
      <vt:lpstr>Downstream Conversion</vt:lpstr>
      <vt:lpstr>FB Campaign Performance</vt:lpstr>
      <vt:lpstr>FB Audience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reddy</dc:creator>
  <dc:description/>
  <cp:lastModifiedBy>manish reddy</cp:lastModifiedBy>
  <cp:revision>2</cp:revision>
  <dcterms:created xsi:type="dcterms:W3CDTF">2026-08-12T20:01:26Z</dcterms:created>
  <dcterms:modified xsi:type="dcterms:W3CDTF">2026-08-13T07:46:56Z</dcterms:modified>
  <dc:language>en-US</dc:language>
</cp:coreProperties>
</file>